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2b5d0f20a842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0cc5471df1174c8f"/>
    <x:sheet xmlns:r="http://schemas.openxmlformats.org/officeDocument/2006/relationships" name="By category" sheetId="2" r:id="R0362d4996a2f4e81"/>
    <x:sheet xmlns:r="http://schemas.openxmlformats.org/officeDocument/2006/relationships" name="Filter and trim" sheetId="3" r:id="Rd7143feaf59a495b"/>
    <x:sheet xmlns:r="http://schemas.openxmlformats.org/officeDocument/2006/relationships" name="Protocol details" sheetId="4" r:id="R184bbdd4c6cf431f"/>
    <x:sheet xmlns:r="http://schemas.openxmlformats.org/officeDocument/2006/relationships" name="PFMBench details" sheetId="5" r:id="R0da52d5d49404e44"/>
    <x:sheet xmlns:r="http://schemas.openxmlformats.org/officeDocument/2006/relationships" name="Cases and diagnostics" sheetId="6" r:id="R46adaac7185e4a9a"/>
    <x:sheet xmlns:r="http://schemas.openxmlformats.org/officeDocument/2006/relationships" name="Diagnostic detail" sheetId="7" r:id="Rf81a272292a640b8"/>
    <x:sheet xmlns:r="http://schemas.openxmlformats.org/officeDocument/2006/relationships" name="Legend" sheetId="8" r:id="R5a4af6b4c29e48aa"/>
    <x:sheet xmlns:r="http://schemas.openxmlformats.org/officeDocument/2006/relationships" name="Limits" sheetId="9" r:id="Rf482dd7106c14e0c"/>
    <x:sheet xmlns:r="http://schemas.openxmlformats.org/officeDocument/2006/relationships" name="Metrics" sheetId="10" r:id="Rb9ffe8e7cb86400a"/>
    <x:sheet xmlns:r="http://schemas.openxmlformats.org/officeDocument/2006/relationships" name="Agent mapping" sheetId="11" r:id="R5e0f7badbd364c9d"/>
    <x:sheet xmlns:r="http://schemas.openxmlformats.org/officeDocument/2006/relationships" name="General controls" sheetId="12" r:id="R99a4aca871b34bd7"/>
    <x:sheet xmlns:r="http://schemas.openxmlformats.org/officeDocument/2006/relationships" name="Legacy task detail" sheetId="13" r:id="R73ce347bb9eb4bc1"/>
    <x:sheet xmlns:r="http://schemas.openxmlformats.org/officeDocument/2006/relationships" name="Resources" sheetId="14" r:id="R2a5bcf7273d541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000"/>
  </x:numFmts>
  <x:fonts count="7">
    <x:font>
      <x:sz val="11"/>
      <x:name val="Carlito"/>
    </x:font>
    <x:font>
      <x:sz val="11"/>
      <x:color rgb="FF18354A"/>
      <x:name val="Aptos"/>
    </x:font>
    <x:font>
      <x:b/>
      <x:sz val="18"/>
      <x:color rgb="FFFFFFFF"/>
      <x:name val="Aptos"/>
    </x:font>
    <x:font>
      <x:sz val="10"/>
      <x:color rgb="FF506675"/>
      <x:name val="Aptos"/>
    </x:font>
    <x:font>
      <x:b/>
      <x:sz val="11"/>
      <x:color rgb="FFFFFFFF"/>
      <x:name val="Aptos"/>
    </x:font>
    <x:font>
      <x:b/>
      <x:sz val="11"/>
      <x:color rgb="FF18354A"/>
      <x:name val="Aptos"/>
    </x:font>
    <x:font>
      <x:b/>
      <x:sz val="12"/>
      <x:color rgb="FFFFFFFF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8354A"/>
      </x:patternFill>
    </x:fill>
    <x:fill>
      <x:patternFill patternType="solid">
        <x:fgColor rgb="FFEFF5F7"/>
      </x:patternFill>
    </x:fill>
    <x:fill>
      <x:patternFill patternType="solid">
        <x:fgColor rgb="FF176F7A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3" borderId="1" xfId="0" applyNumberFormat="1" applyFont="1" applyFill="1" applyBorder="1" applyAlignment="1">
      <x:alignment vertical="top" wrapText="1"/>
    </x:xf>
    <x:xf numFmtId="200" fontId="1" fillId="0" borderId="1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1" fontId="1" fillId="3" borderId="1" xfId="0" applyNumberFormat="1" applyFont="1" applyFill="1" applyBorder="1" applyAlignment="1">
      <x:alignment vertical="top" wrapText="1"/>
    </x:xf>
    <x:xf numFmtId="201" fontId="1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color rgb="FF17552E"/>
      </x:font>
      <x:fill>
        <x:patternFill>
          <x:bgColor rgb="FFDCEFE2"/>
        </x:patternFill>
      </x:fill>
    </x:dxf>
    <x:dxf>
      <x:font>
        <x:color rgb="FF815F16"/>
      </x:font>
      <x:fill>
        <x:patternFill>
          <x:bgColor rgb="FFFFF0D5"/>
        </x:patternFill>
      </x:fill>
    </x:dxf>
    <x:dxf>
      <x:font>
        <x:color rgb="FF7D3030"/>
      </x:font>
      <x:fill>
        <x:patternFill>
          <x:bgColor rgb="FFF5DED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3b2fade34b4b10" /><Relationship Type="http://schemas.openxmlformats.org/officeDocument/2006/relationships/theme" Target="/xl/theme/theme1.xml" Id="R881bd08310834f52" /><Relationship Type="http://schemas.openxmlformats.org/officeDocument/2006/relationships/sharedStrings" Target="/xl/sharedStrings.xml" Id="Re918ba5afa6d4f55" /><Relationship Type="http://schemas.openxmlformats.org/officeDocument/2006/relationships/worksheet" Target="/xl/worksheets/sheet1.xml" Id="R0cc5471df1174c8f" /><Relationship Type="http://schemas.openxmlformats.org/officeDocument/2006/relationships/worksheet" Target="/xl/worksheets/sheet2.xml" Id="R0362d4996a2f4e81" /><Relationship Type="http://schemas.openxmlformats.org/officeDocument/2006/relationships/worksheet" Target="/xl/worksheets/sheet3.xml" Id="Rd7143feaf59a495b" /><Relationship Type="http://schemas.openxmlformats.org/officeDocument/2006/relationships/worksheet" Target="/xl/worksheets/sheet4.xml" Id="R184bbdd4c6cf431f" /><Relationship Type="http://schemas.openxmlformats.org/officeDocument/2006/relationships/worksheet" Target="/xl/worksheets/sheet5.xml" Id="R0da52d5d49404e44" /><Relationship Type="http://schemas.openxmlformats.org/officeDocument/2006/relationships/worksheet" Target="/xl/worksheets/sheet6.xml" Id="R46adaac7185e4a9a" /><Relationship Type="http://schemas.openxmlformats.org/officeDocument/2006/relationships/worksheet" Target="/xl/worksheets/sheet7.xml" Id="Rf81a272292a640b8" /><Relationship Type="http://schemas.openxmlformats.org/officeDocument/2006/relationships/worksheet" Target="/xl/worksheets/sheet8.xml" Id="R5a4af6b4c29e48aa" /><Relationship Type="http://schemas.openxmlformats.org/officeDocument/2006/relationships/worksheet" Target="/xl/worksheets/sheet9.xml" Id="Rf482dd7106c14e0c" /><Relationship Type="http://schemas.openxmlformats.org/officeDocument/2006/relationships/worksheet" Target="/xl/worksheets/sheet10.xml" Id="Rb9ffe8e7cb86400a" /><Relationship Type="http://schemas.openxmlformats.org/officeDocument/2006/relationships/worksheet" Target="/xl/worksheets/sheet11.xml" Id="R5e0f7badbd364c9d" /><Relationship Type="http://schemas.openxmlformats.org/officeDocument/2006/relationships/worksheet" Target="/xl/worksheets/sheet12.xml" Id="R99a4aca871b34bd7" /><Relationship Type="http://schemas.openxmlformats.org/officeDocument/2006/relationships/worksheet" Target="/xl/worksheets/sheet13.xml" Id="R73ce347bb9eb4bc1" /><Relationship Type="http://schemas.openxmlformats.org/officeDocument/2006/relationships/worksheet" Target="/xl/worksheets/sheet14.xml" Id="R2a5bcf7273d541a3" /></Relationships>
</file>

<file path=xl/tables/table1.xml><?xml version="1.0" encoding="utf-8"?>
<x:table xmlns:x="http://schemas.openxmlformats.org/spreadsheetml/2006/main" id="1" name="MasterSelection" displayName="MasterSelection" ref="A4:I71" headerRowCount="1" totalsRowCount="0" totalsRowShown="0">
  <x:tableColumns count="9">
    <x:tableColumn id="1" name="Category"/>
    <x:tableColumn id="2" name="Actual dataset / protocol"/>
    <x:tableColumn id="3" name="Selection"/>
    <x:tableColumn id="4" name="Evaluation type"/>
    <x:tableColumn id="5" name="Test / source size"/>
    <x:tableColumn id="6" name="Input interface"/>
    <x:tableColumn id="7" name="Reported results"/>
    <x:tableColumn id="8" name="Source status"/>
    <x:tableColumn id="9" name="Key qualific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tocols" displayName="Protocols" ref="A4:M71" headerRowCount="1" totalsRowCount="0" totalsRowShown="0">
  <x:tableColumns count="13">
    <x:tableColumn id="1" name="Category"/>
    <x:tableColumn id="2" name="Dataset / protocol"/>
    <x:tableColumn id="3" name="Evaluation type"/>
    <x:tableColumn id="4" name="Source / test size"/>
    <x:tableColumn id="5" name="Input interface"/>
    <x:tableColumn id="6" name="Reference evidence"/>
    <x:tableColumn id="7" name="Training / inference regime"/>
    <x:tableColumn id="8" name="Qualification"/>
    <x:tableColumn id="9" name="Result provenance"/>
    <x:tableColumn id="10" name="Access status"/>
    <x:tableColumn id="11" name="Paper / primary URLs"/>
    <x:tableColumn id="12" name="Data / code URLs"/>
    <x:tableColumn id="13" name="Source loca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FMDetails" displayName="PFMDetails" ref="A4:J43" headerRowCount="1" totalsRowCount="0" totalsRowShown="0">
  <x:tableColumns count="10">
    <x:tableColumn id="1" name="Source group"/>
    <x:tableColumn id="2" name="Source task"/>
    <x:tableColumn id="3" name="Metric"/>
    <x:tableColumn id="4" name="Train n"/>
    <x:tableColumn id="5" name="Validation n"/>
    <x:tableColumn id="6" name="Test n"/>
    <x:tableColumn id="7" name="Reported mean"/>
    <x:tableColumn id="8" name="Model / setting"/>
    <x:tableColumn id="9" name="Paper location"/>
    <x:tableColumn id="10" name="Primary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asesDiagnostics" displayName="CasesDiagnostics" ref="A4:F13" headerRowCount="1" totalsRowCount="0" totalsRowShown="0">
  <x:tableColumns count="6">
    <x:tableColumn id="1" name="Task / evaluation"/>
    <x:tableColumn id="2" name="Task Evaluation targets &amp; size"/>
    <x:tableColumn id="3" name="Example Questions"/>
    <x:tableColumn id="4" name="Reported results"/>
    <x:tableColumn id="5" name="Status / limitation"/>
    <x:tableColumn id="6" name="Primary sourc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iagDetail" displayName="DiagDetail" ref="A4:F17" headerRowCount="1" totalsRowCount="0" totalsRowShown="0">
  <x:tableColumns count="6">
    <x:tableColumn id="1" name="Diagnostic"/>
    <x:tableColumn id="2" name="Target"/>
    <x:tableColumn id="3" name="Illustrative question"/>
    <x:tableColumn id="4" name="Reported result"/>
    <x:tableColumn id="5" name="Status"/>
    <x:tableColumn id="6" name="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egendTable" displayName="LegendTable" ref="A4:B29" headerRowCount="1" totalsRowCount="0" totalsRowShown="0">
  <x:tableColumns count="2">
    <x:tableColumn id="1" name="Term"/>
    <x:tableColumn id="2" name="Meaning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imitTable" displayName="LimitTable" ref="A4:C20" headerRowCount="1" totalsRowCount="0" totalsRowShown="0">
  <x:tableColumns count="3">
    <x:tableColumn id="1" name="Item"/>
    <x:tableColumn id="2" name="What is known / unresolved"/>
    <x:tableColumn id="3" name="Required handling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Table" displayName="MetricTable" ref="A4:G35" headerRowCount="1" totalsRowCount="0" totalsRowShown="0">
  <x:tableColumns count="7">
    <x:tableColumn id="1" name="Metric"/>
    <x:tableColumn id="2" name="Plain-language meaning"/>
    <x:tableColumn id="3" name="Direction"/>
    <x:tableColumn id="4" name="Use case"/>
    <x:tableColumn id="5" name="Interpretation trap"/>
    <x:tableColumn id="6" name="Appears in"/>
    <x:tableColumn id="7" name="Definition /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gentMapping" displayName="AgentMapping" ref="A4:H68" headerRowCount="1" totalsRowCount="0" totalsRowShown="0">
  <x:tableColumns count="8">
    <x:tableColumn id="1" name="Old agent ID"/>
    <x:tableColumn id="2" name="Original setting"/>
    <x:tableColumn id="3" name="Category"/>
    <x:tableColumn id="4" name="Master dataset group"/>
    <x:tableColumn id="5" name="Location"/>
    <x:tableColumn id="6" name="Execution scope"/>
    <x:tableColumn id="7" name="Input-compatibility classification"/>
    <x:tableColumn id="8" name="Original limit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GeneralControls" displayName="GeneralControls" ref="A4:G18" headerRowCount="1" totalsRowCount="0" totalsRowShown="0">
  <x:tableColumns count="7">
    <x:tableColumn id="1" name="Capability / task"/>
    <x:tableColumn id="2" name="What is evaluated"/>
    <x:tableColumn id="3" name="Input / output"/>
    <x:tableColumn id="4" name="Metric"/>
    <x:tableColumn id="5" name="Original protocol"/>
    <x:tableColumn id="6" name="Limit"/>
    <x:tableColumn id="7" name="Source / cod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LegacyDetail" displayName="LegacyDetail" ref="A4:J68" headerRowCount="1" totalsRowCount="0" totalsRowShown="0">
  <x:tableColumns count="10">
    <x:tableColumn id="1" name="Original ID"/>
    <x:tableColumn id="2" name="Task"/>
    <x:tableColumn id="3" name="Input"/>
    <x:tableColumn id="4" name="Output"/>
    <x:tableColumn id="5" name="Metric"/>
    <x:tableColumn id="6" name="Split / configuration"/>
    <x:tableColumn id="7" name="Reported result carried forward"/>
    <x:tableColumn id="8" name="Original qualification"/>
    <x:tableColumn id="9" name="Primary source"/>
    <x:tableColumn id="10" name="Official entry poin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ResourcesTable" displayName="ResourcesTable" ref="A4:D71" headerRowCount="1" totalsRowCount="0" totalsRowShown="0">
  <x:tableColumns count="4">
    <x:tableColumn id="1" name="URL"/>
    <x:tableColumn id="2" name="Role"/>
    <x:tableColumn id="3" name="Used by"/>
    <x:tableColumn id="4" name="Provena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2095cb615924aa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2142b1c87ce4e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78d30ab74b8474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060f37ca0684f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4594ce789a042f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d4df8b25a9a44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7153bb880a7f4aa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8b1e81592e704fb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84b4c36b7d147e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32dd2aa37584d1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fb19886ece3f4da7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6ea82b0ca2c84ed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50" hidden="0" customWidth="1"/>
    <x:col min="2" max="2" width="18" hidden="0" customWidth="1"/>
    <x:col min="3" max="3" width="21" hidden="0" customWidth="1"/>
    <x:col min="4" max="4" width="53" hidden="0" customWidth="1"/>
  </x:cols>
  <x:sheetData>
    <x:row r="1" ht="38" customHeight="1">
      <x:c r="A1" s="10" t="str">
        <x:v>BIOLOGICAL EVALUATIONS | MASTER CATALOG</x:v>
      </x:c>
      <x:c r="B1" s="10"/>
      <x:c r="C1" s="10"/>
      <x:c r="D1" s="10"/>
    </x:row>
    <x:row r="2" ht="36" customHeight="1">
      <x:c r="A2" s="16" t="str">
        <x:v>2026-10-15 • Dataset-level overview, published results and source-specific protocols • No model runs or raw benchmark payloads</x:v>
      </x:c>
      <x:c r="B2" s="16"/>
      <x:c r="C2" s="16"/>
      <x:c r="D2" s="16"/>
    </x:row>
    <x:row r="3" ht="10" customHeight="1">
      <x:c r="A3" s="4"/>
      <x:c r="B3" s="4"/>
      <x:c r="C3" s="4"/>
      <x:c r="D3" s="4"/>
    </x:row>
    <x:row r="4" ht="28" customHeight="1">
      <x:c r="A4" s="21" t="str">
        <x:v>Coverage</x:v>
      </x:c>
      <x:c r="B4" s="21" t="str">
        <x:v>Catalogued</x:v>
      </x:c>
      <x:c r="C4" s="21" t="str">
        <x:v>Marked Keep</x:v>
      </x:c>
      <x:c r="D4" s="21" t="str">
        <x:v>What is counted</x:v>
      </x:c>
    </x:row>
    <x:row r="5" ht="42" customHeight="1">
      <x:c r="A5" s="4" t="str">
        <x:v>Protein properties, interactions and developability</x:v>
      </x:c>
      <x:c r="B5" s="4" t="n">
        <x:f>COUNTIF('Filter and trim'!$A$5:$A$71,A5)</x:f>
        <x:v>14</x:v>
      </x:c>
      <x:c r="C5" s="4" t="n">
        <x:f>COUNTIFS('Filter and trim'!$A$5:$A$71,A5,'Filter and trim'!$C$5:$C$71,"Keep")</x:f>
        <x:v>0</x:v>
      </x:c>
      <x:c r="D5" s="4" t="str">
        <x:v>Dataset/protocol rows; related suites can overlap.</x:v>
      </x:c>
    </x:row>
    <x:row r="6" ht="42" customHeight="1">
      <x:c r="A6" s="4" t="str">
        <x:v>Protein function, annotations and descriptions</x:v>
      </x:c>
      <x:c r="B6" s="4" t="n">
        <x:f>COUNTIF('Filter and trim'!$A$5:$A$71,A6)</x:f>
        <x:v>7</x:v>
      </x:c>
      <x:c r="C6" s="4" t="n">
        <x:f>COUNTIFS('Filter and trim'!$A$5:$A$71,A6,'Filter and trim'!$C$5:$C$71,"Keep")</x:f>
        <x:v>0</x:v>
      </x:c>
      <x:c r="D6" s="4" t="str">
        <x:v>Dataset/protocol rows; related suites can overlap.</x:v>
      </x:c>
    </x:row>
    <x:row r="7" ht="42" customHeight="1">
      <x:c r="A7" s="4" t="str">
        <x:v>Mutation-effect interpretation</x:v>
      </x:c>
      <x:c r="B7" s="4" t="n">
        <x:f>COUNTIF('Filter and trim'!$A$5:$A$71,A7)</x:f>
        <x:v>1</x:v>
      </x:c>
      <x:c r="C7" s="4" t="n">
        <x:f>COUNTIFS('Filter and trim'!$A$5:$A$71,A7,'Filter and trim'!$C$5:$C$71,"Keep")</x:f>
        <x:v>0</x:v>
      </x:c>
      <x:c r="D7" s="4" t="str">
        <x:v>Dataset/protocol rows; related suites can overlap.</x:v>
      </x:c>
    </x:row>
    <x:row r="8" ht="42" customHeight="1">
      <x:c r="A8" s="4" t="str">
        <x:v>Mutation ranking, affinity and local optimization</x:v>
      </x:c>
      <x:c r="B8" s="4" t="n">
        <x:f>COUNTIF('Filter and trim'!$A$5:$A$71,A8)</x:f>
        <x:v>10</x:v>
      </x:c>
      <x:c r="C8" s="4" t="n">
        <x:f>COUNTIFS('Filter and trim'!$A$5:$A$71,A8,'Filter and trim'!$C$5:$C$71,"Keep")</x:f>
        <x:v>0</x:v>
      </x:c>
      <x:c r="D8" s="4" t="str">
        <x:v>Dataset/protocol rows; related suites can overlap.</x:v>
      </x:c>
    </x:row>
    <x:row r="9" ht="42" customHeight="1">
      <x:c r="A9" s="4" t="str">
        <x:v>Scientific evidence and biological knowledge</x:v>
      </x:c>
      <x:c r="B9" s="4" t="n">
        <x:f>COUNTIF('Filter and trim'!$A$5:$A$71,A9)</x:f>
        <x:v>3</x:v>
      </x:c>
      <x:c r="C9" s="4" t="n">
        <x:f>COUNTIFS('Filter and trim'!$A$5:$A$71,A9,'Filter and trim'!$C$5:$C$71,"Keep")</x:f>
        <x:v>0</x:v>
      </x:c>
      <x:c r="D9" s="4" t="str">
        <x:v>Dataset/protocol rows; related suites can overlap.</x:v>
      </x:c>
    </x:row>
    <x:row r="10" ht="42" customHeight="1">
      <x:c r="A10" s="4" t="str">
        <x:v>Protein design</x:v>
      </x:c>
      <x:c r="B10" s="4" t="n">
        <x:f>COUNTIF('Filter and trim'!$A$5:$A$71,A10)</x:f>
        <x:v>12</x:v>
      </x:c>
      <x:c r="C10" s="4" t="n">
        <x:f>COUNTIFS('Filter and trim'!$A$5:$A$71,A10,'Filter and trim'!$C$5:$C$71,"Keep")</x:f>
        <x:v>0</x:v>
      </x:c>
      <x:c r="D10" s="4" t="str">
        <x:v>Dataset/protocol rows; related suites can overlap.</x:v>
      </x:c>
    </x:row>
    <x:row r="11" ht="42" customHeight="1">
      <x:c r="A11" s="4" t="str">
        <x:v>Structure and conformational prediction</x:v>
      </x:c>
      <x:c r="B11" s="4" t="n">
        <x:f>COUNTIF('Filter and trim'!$A$5:$A$71,A11)</x:f>
        <x:v>7</x:v>
      </x:c>
      <x:c r="C11" s="4" t="n">
        <x:f>COUNTIFS('Filter and trim'!$A$5:$A$71,A11,'Filter and trim'!$C$5:$C$71,"Keep")</x:f>
        <x:v>0</x:v>
      </x:c>
      <x:c r="D11" s="4" t="str">
        <x:v>Dataset/protocol rows; related suites can overlap.</x:v>
      </x:c>
    </x:row>
    <x:row r="12" ht="42" customHeight="1">
      <x:c r="A12" s="4" t="str">
        <x:v>Biomedical visual evidence</x:v>
      </x:c>
      <x:c r="B12" s="4" t="n">
        <x:f>COUNTIF('Filter and trim'!$A$5:$A$71,A12)</x:f>
        <x:v>3</x:v>
      </x:c>
      <x:c r="C12" s="4" t="n">
        <x:f>COUNTIFS('Filter and trim'!$A$5:$A$71,A12,'Filter and trim'!$C$5:$C$71,"Keep")</x:f>
        <x:v>0</x:v>
      </x:c>
      <x:c r="D12" s="4" t="str">
        <x:v>Dataset/protocol rows; related suites can overlap.</x:v>
      </x:c>
    </x:row>
    <x:row r="13" ht="42" customHeight="1">
      <x:c r="A13" s="4" t="str">
        <x:v>Other biological modalities and molecular interactions</x:v>
      </x:c>
      <x:c r="B13" s="4" t="n">
        <x:f>COUNTIF('Filter and trim'!$A$5:$A$71,A13)</x:f>
        <x:v>10</x:v>
      </x:c>
      <x:c r="C13" s="4" t="n">
        <x:f>COUNTIFS('Filter and trim'!$A$5:$A$71,A13,'Filter and trim'!$C$5:$C$71,"Keep")</x:f>
        <x:v>0</x:v>
      </x:c>
      <x:c r="D13" s="4" t="str">
        <x:v>Dataset/protocol rows; related suites can overlap.</x:v>
      </x:c>
    </x:row>
    <x:row r="14">
      <x:c r="A14" s="4"/>
      <x:c r="B14" s="4"/>
      <x:c r="C14" s="4"/>
      <x:c r="D14" s="4"/>
    </x:row>
    <x:row r="15" ht="42" customHeight="1">
      <x:c r="A15" s="24" t="str">
        <x:v>Total main entries</x:v>
      </x:c>
      <x:c r="B15" s="24" t="n">
        <x:f>SUM(B5:B13)</x:f>
        <x:v>67</x:v>
      </x:c>
      <x:c r="C15" s="24" t="n">
        <x:f>SUM(C5:C13)</x:f>
        <x:v>0</x:v>
      </x:c>
      <x:c r="D15" s="24" t="str">
        <x:v>Not a count of unique source datasets or observations.</x:v>
      </x:c>
    </x:row>
    <x:row r="16">
      <x:c r="A16" s="4"/>
      <x:c r="B16" s="4"/>
      <x:c r="C16" s="4"/>
      <x:c r="D16" s="4"/>
    </x:row>
    <x:row r="17" ht="42" customHeight="1">
      <x:c r="A17" s="4" t="str">
        <x:v>Additional case/diagnostic groups</x:v>
      </x:c>
      <x:c r="B17" s="4" t="n">
        <x:v>9</x:v>
      </x:c>
      <x:c r="C17" s="4" t="str"/>
      <x:c r="D17" s="4" t="str">
        <x:v>Kept apart from fixed benchmark rows.</x:v>
      </x:c>
    </x:row>
    <x:row r="18" ht="42" customHeight="1">
      <x:c r="A18" s="4" t="str">
        <x:v>Original biological task IDs mapped</x:v>
      </x:c>
      <x:c r="B18" s="4" t="n">
        <x:v>64</x:v>
      </x:c>
      <x:c r="C18" s="4" t="str"/>
      <x:c r="D18" s="4" t="str">
        <x:v>All previous settings retained in main or appendix.</x:v>
      </x:c>
    </x:row>
    <x:row r="19" ht="42" customHeight="1">
      <x:c r="A19" s="4" t="str">
        <x:v>General-control groups</x:v>
      </x:c>
      <x:c r="B19" s="4" t="n">
        <x:v>14</x:v>
      </x:c>
      <x:c r="C19" s="4" t="str"/>
      <x:c r="D19" s="4" t="str">
        <x:v>Separate from biological performance.</x:v>
      </x:c>
    </x:row>
    <x:row r="20" ht="42" customHeight="1">
      <x:c r="A20" s="4" t="str">
        <x:v>PFMBench source-table entries</x:v>
      </x:c>
      <x:c r="B20" s="4" t="n">
        <x:v>39</x:v>
      </x:c>
      <x:c r="C20" s="4" t="str"/>
      <x:c r="D20" s="4" t="str">
        <x:v>Source says 38 tasks; Table 1 visibly lists 39 entries. See Limits.</x:v>
      </x:c>
    </x:row>
    <x:row r="21" ht="42" customHeight="1">
      <x:c r="A21" s="4" t="str">
        <x:v>New model evaluations performed</x:v>
      </x:c>
      <x:c r="B21" s="4" t="n">
        <x:v>0</x:v>
      </x:c>
      <x:c r="C21" s="4" t="str"/>
      <x:c r="D21" s="4" t="str">
        <x:v>No paid calls, model training or wet-lab work.</x:v>
      </x:c>
    </x:row>
    <x:row r="22">
      <x:c r="A22" s="4"/>
      <x:c r="B22" s="4"/>
      <x:c r="C22" s="4"/>
      <x:c r="D22" s="4"/>
    </x:row>
    <x:row r="23">
      <x:c r="A23" s="4"/>
      <x:c r="B23" s="4"/>
      <x:c r="C23" s="4"/>
      <x:c r="D23" s="4"/>
    </x:row>
    <x:row r="24" ht="36" customHeight="1">
      <x:c r="A24" s="14" t="str">
        <x:v>By category</x:v>
      </x:c>
      <x:c r="B24" s="14" t="str">
        <x:v>Four columns: actual datasets, targets/sizes, example questions, reported results.</x:v>
      </x:c>
      <x:c r="C24" s="14"/>
      <x:c r="D24" s="14"/>
    </x:row>
    <x:row r="25" ht="36" customHeight="1">
      <x:c r="A25" s="26" t="str">
        <x:v>Filter and trim</x:v>
      </x:c>
      <x:c r="B25" s="26" t="str">
        <x:v>Set Undecided / Keep / Defer / Drop. All entries start Undecided.</x:v>
      </x:c>
      <x:c r="C25" s="26"/>
      <x:c r="D25" s="26"/>
    </x:row>
    <x:row r="26" ht="36" customHeight="1">
      <x:c r="A26" s="14" t="str">
        <x:v>Protocol details</x:v>
      </x:c>
      <x:c r="B26" s="14" t="str">
        <x:v>Input, evidence, regime, caveats, exact paper/official resource links.</x:v>
      </x:c>
      <x:c r="C26" s="14"/>
      <x:c r="D26" s="14"/>
    </x:row>
    <x:row r="27" ht="36" customHeight="1">
      <x:c r="A27" s="26" t="str">
        <x:v>PFMBench details</x:v>
      </x:c>
      <x:c r="B27" s="26" t="str">
        <x:v>All listed Table 1 entries with numerical train/validation/test counts and metric values.</x:v>
      </x:c>
      <x:c r="C27" s="26"/>
      <x:c r="D27" s="26"/>
    </x:row>
    <x:row r="28" ht="36" customHeight="1">
      <x:c r="A28" s="14" t="str">
        <x:v>Cases and diagnostics</x:v>
      </x:c>
      <x:c r="B28" s="14" t="str">
        <x:v>Prospective campaigns, model-scored cases and internal diagnostics; no false benchmark status.</x:v>
      </x:c>
      <x:c r="C28" s="14"/>
      <x:c r="D28" s="14"/>
    </x:row>
    <x:row r="29" ht="36" customHeight="1">
      <x:c r="A29" s="26" t="str">
        <x:v>Metrics / Legend / Limits</x:v>
      </x:c>
      <x:c r="B29" s="26" t="str">
        <x:v>Units, score direction, source status and known unresolved artifacts.</x:v>
      </x:c>
      <x:c r="C29" s="26"/>
      <x:c r="D29" s="26"/>
    </x:row>
    <x:row r="30" ht="36" customHeight="1">
      <x:c r="A30" s="14" t="str">
        <x:v>Agent mapping</x:v>
      </x:c>
      <x:c r="B30" s="14" t="str">
        <x:v>All 64 old settings; initial run scope is unchanged. Added rows are research inventory only.</x:v>
      </x:c>
      <x:c r="C30" s="14"/>
      <x:c r="D30" s="14"/>
    </x:row>
    <x:row r="31" ht="36" customHeight="1">
      <x:c r="A31" s="26" t="str">
        <x:v>General controls</x:v>
      </x:c>
      <x:c r="B31" s="26" t="str">
        <x:v>14 prior general-language evaluation groups; not included in a biological average.</x:v>
      </x:c>
      <x:c r="C31" s="26"/>
      <x:c r="D31" s="26"/>
    </x:row>
    <x:row r="32">
      <x:c r="A32" s="4"/>
      <x:c r="B32" s="4"/>
      <x:c r="C32" s="4"/>
      <x:c r="D32" s="4"/>
    </x:row>
    <x:row r="33">
      <x:c r="A33" s="4"/>
      <x:c r="B33" s="4"/>
      <x:c r="C33" s="4"/>
      <x:c r="D33" s="4"/>
    </x:row>
    <x:row r="34">
      <x:c r="A34" s="4"/>
      <x:c r="B34" s="4"/>
      <x:c r="C34" s="4"/>
      <x:c r="D34" s="4"/>
    </x:row>
    <x:row r="35">
      <x:c r="A35" s="4"/>
      <x:c r="B35" s="4"/>
      <x:c r="C35" s="4"/>
      <x:c r="D35" s="4"/>
    </x:row>
    <x:row r="36">
      <x:c r="A36" s="4"/>
      <x:c r="B36" s="4"/>
      <x:c r="C36" s="4"/>
      <x:c r="D36" s="4"/>
    </x:row>
  </x:sheetData>
  <x:mergeCells>
    <x:mergeCell ref="A1:D1"/>
    <x:mergeCell ref="A2:D2"/>
    <x:mergeCell ref="B24:D24"/>
    <x:mergeCell ref="B25:D25"/>
    <x:mergeCell ref="B26:D26"/>
    <x:mergeCell ref="B27:D27"/>
    <x:mergeCell ref="B28:D28"/>
    <x:mergeCell ref="B29:D29"/>
    <x:mergeCell ref="B30:D30"/>
    <x:mergeCell ref="B31:D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49" hidden="0" customWidth="1"/>
    <x:col min="3" max="3" width="42" hidden="0" customWidth="1"/>
    <x:col min="4" max="4" width="59" hidden="0" customWidth="1"/>
  </x:cols>
  <x:sheetData>
    <x:row r="1" ht="38" customHeight="1">
      <x:c r="A1" s="10" t="str">
        <x:v>EVALUATION DATASETS | BY TASK CATEGORY</x:v>
      </x:c>
      <x:c r="B1" s="10"/>
      <x:c r="C1" s="10"/>
      <x:c r="D1" s="10"/>
    </x:row>
    <x:row r="2" ht="36" customHeight="1">
      <x:c r="A2" s="16" t="str">
        <x:v>Published examples of performance, not our runs or a unified leaderboard. Sizes retain their units. See Protocol details for sources and limits.</x:v>
      </x:c>
      <x:c r="B2" s="16"/>
      <x:c r="C2" s="16"/>
      <x:c r="D2" s="16"/>
    </x:row>
    <x:row r="3" ht="10" customHeight="1">
      <x:c r="A3" s="4"/>
      <x:c r="B3" s="4"/>
      <x:c r="C3" s="4"/>
      <x:c r="D3" s="4"/>
    </x:row>
    <x:row r="4" ht="38" customHeight="1">
      <x:c r="A4" s="28" t="str">
        <x:v>Task / actual dataset</x:v>
      </x:c>
      <x:c r="B4" s="28" t="str">
        <x:v>Task Evaluation targets &amp; size</x:v>
      </x:c>
      <x:c r="C4" s="28" t="str">
        <x:v>Example Questions</x:v>
      </x:c>
      <x:c r="D4" s="28" t="str">
        <x:v>Reported results</x:v>
      </x:c>
    </x:row>
    <x:row r="5" ht="30" customHeight="1">
      <x:c r="A5" s="31" t="str">
        <x:v>1. Protein properties, interactions and developability</x:v>
      </x:c>
      <x:c r="B5" s="31"/>
      <x:c r="C5" s="31"/>
      <x:c r="D5" s="31"/>
    </x:row>
    <x:row r="6" ht="72" customHeight="1">
      <x:c r="A6" s="34" t="str">
        <x:v>DeepSol solubility — PEER split</x:v>
      </x:c>
      <x:c r="B6" s="4" t="str">
        <x:v>Soluble / insoluble classification.
Test: 1,999 proteins.
Train: 62,478; validation: 6,942 (PEER Table 1).</x:v>
      </x:c>
      <x:c r="C6" s="4" t="str">
        <x:v>Will this sequence be soluble under the benchmark's expression conditions?</x:v>
      </x:c>
      <x:c r="D6" s="4" t="str">
        <x:v>Accuracy: BioT5+ 74.37 ± 0.19%; BioT5 74.65 ± 0.49%.</x:v>
      </x:c>
    </x:row>
    <x:row r="7" ht="84" customHeight="1">
      <x:c r="A7" s="24" t="str">
        <x:v>DeepLoc — binary and 10-compartment localization</x:v>
      </x:c>
      <x:c r="B7" s="14" t="str">
        <x:v>Membrane-associated class; or cellular compartment.
Published PEER test counts:
binary 1,746; 10-compartment 2,768.</x:v>
      </x:c>
      <x:c r="C7" s="14" t="str">
        <x:v>Is the protein membrane-associated? In the ten-class task: which cellular compartment contains it?</x:v>
      </x:c>
      <x:c r="D7" s="14" t="str">
        <x:v>Binary accuracy: BioT5+ 90.41%; BioT5 91.69%.
10-class accuracy: ProtST-ESM-2 83.39%; ESM-2 80.84%.</x:v>
      </x:c>
    </x:row>
    <x:row r="8" ht="72" customHeight="1">
      <x:c r="A8" s="34" t="str">
        <x:v>Envision β-lactamase — PEER split</x:v>
      </x:c>
      <x:c r="B8" s="4" t="str">
        <x:v>Predict measured enzyme-variant activity.
Test: 520 variants.
Train: 4,158; validation: 520.</x:v>
      </x:c>
      <x:c r="C8" s="4" t="str">
        <x:v>Which of these enzyme variants has higher measured activity?</x:v>
      </x:c>
      <x:c r="D8" s="4" t="str">
        <x:v>Spearman: ProtST-ESM-2 0.879; ESM-2 0.867.</x:v>
      </x:c>
    </x:row>
    <x:row r="9" ht="72" customHeight="1">
      <x:c r="A9" s="24" t="str">
        <x:v>TAPE GFP / Sarkisyan fluorescence</x:v>
      </x:c>
      <x:c r="B9" s="14" t="str">
        <x:v>Rank GFP variants by measured fluorescence.
Test: 27,217 variants.
Train: 21,446; validation: 5,362.</x:v>
      </x:c>
      <x:c r="C9" s="14" t="str">
        <x:v>Which GFP variants should fluoresce more strongly?</x:v>
      </x:c>
      <x:c r="D9" s="14" t="str">
        <x:v>Spearman: ProtST-ESM-2 0.682; ESM-2 0.677.</x:v>
      </x:c>
    </x:row>
    <x:row r="10" ht="84" customHeight="1">
      <x:c r="A10" s="34" t="str">
        <x:v>TAPE / Rocklin stability</x:v>
      </x:c>
      <x:c r="B10" s="4" t="str">
        <x:v>Predict a continuous protein-stability assay score.
Test: 12,851 proteins.
Train: 53,571; validation: 2,512.</x:v>
      </x:c>
      <x:c r="C10" s="4" t="str">
        <x:v>Which sequence has a higher score in the protein-stability assay?</x:v>
      </x:c>
      <x:c r="D10" s="4" t="str">
        <x:v>Spearman: ProtST-ESM-2 0.738; ESM-2 0.718.</x:v>
      </x:c>
    </x:row>
    <x:row r="11" ht="84" customHeight="1">
      <x:c r="A11" s="24" t="str">
        <x:v>FLIP — AAV and Meltome</x:v>
      </x:c>
      <x:c r="B11" s="14" t="str">
        <x:v>AAV variant fitness; thermal stability.
ProtST splits: AAV two_vs_many; Meltome human_cell.
Exact test counts not verified in this review.</x:v>
      </x:c>
      <x:c r="C11" s="14" t="str">
        <x:v>Which AAV variants score higher? Which proteins tolerate greater temperatures?</x:v>
      </x:c>
      <x:c r="D11" s="14" t="str">
        <x:v>Spearman, ProtST-ESM-2 vs ESM-2:
AAV 0.825 vs 0.817;
Meltome 0.682 vs 0.672.</x:v>
      </x:c>
    </x:row>
    <x:row r="12" ht="84" customHeight="1">
      <x:c r="A12" s="34" t="str">
        <x:v>Human/Pan and yeast/Guo PPI — PEER</x:v>
      </x:c>
      <x:c r="B12" s="4" t="str">
        <x:v>Classify interaction between two protein sequences.
Published PEER test counts:
human 227 pairs; yeast 373 pairs.</x:v>
      </x:c>
      <x:c r="C12" s="4" t="str">
        <x:v>Do these two human proteins interact? The yeast dataset asks the analogous question.</x:v>
      </x:c>
      <x:c r="D12" s="4" t="str">
        <x:v>Accuracy, BioT5+ vs BioT5:
human 85.09% vs 86.22%;
yeast 66.16% vs 64.89%.</x:v>
      </x:c>
    </x:row>
    <x:row r="13" ht="84" customHeight="1">
      <x:c r="A13" s="24" t="str">
        <x:v>NatureLM/PEER binarized stability — paper-specific protocol</x:v>
      </x:c>
      <x:c r="B13" s="14" t="str">
        <x:v>Does the protein satisfy the paper's stable/unstable label definition?
NatureLM §7.2 uses classification. Exact label-conversion rule not resolved in this review.</x:v>
      </x:c>
      <x:c r="C13" s="14" t="str">
        <x:v>Does the protein satisfy the paper's stable/unstable label definition?</x:v>
      </x:c>
      <x:c r="D13" s="14" t="str">
        <x:v>NatureLM-8x7B: 72.3% accuracy; SFM-Protein-650M: 58.3%, in NatureLM's stability-classification setup.</x:v>
      </x:c>
    </x:row>
    <x:row r="14" ht="112" customHeight="1">
      <x:c r="A14" s="34" t="str">
        <x:v>FLAb / FLAb2 antibody property collection</x:v>
      </x:c>
      <x:c r="B14" s="4" t="str">
        <x:v>Antibody expression, aggregation, affinity, polyreactivity, immunogenicity, pharmacokinetics and thermostability.
Current repository: 241 datasets; &gt;3 million assay points. Category counts 31/132/7/4/9/33/25 respectively (see details); not one held-out set.</x:v>
      </x:c>
      <x:c r="C14" s="4" t="str">
        <x:v>Which antibody variants retain affinity while avoiding poor expression or polyreactivity?</x:v>
      </x:c>
      <x:c r="D14" s="4" t="str">
        <x:v>No version-matched aggregate model score transcribed; repository supplies per-assay zero-/few-shot evaluation outputs.</x:v>
      </x:c>
    </x:row>
    <x:row r="15" ht="84" customHeight="1">
      <x:c r="A15" s="24" t="str">
        <x:v>ATOM3D interface contacts (PIP)</x:v>
      </x:c>
      <x:c r="B15" s="14" t="str">
        <x:v>Identify cross-chain residue contacts from separate protein structures.
DIPS training and DB5 testing; exact processed test count not transcribed.</x:v>
      </x:c>
      <x:c r="C15" s="14" t="str">
        <x:v>Do these two residues contact when the proteins form the reference complex?</x:v>
      </x:c>
      <x:c r="D15" s="14" t="str">
        <x:v>AUROC: 3D-CNN 0.844; GNN 0.669; non-3D baseline 0.841.</x:v>
      </x:c>
    </x:row>
    <x:row r="16" ht="84" customHeight="1">
      <x:c r="A16" s="34" t="str">
        <x:v>PFMBench solubility panel</x:v>
      </x:c>
      <x:c r="B16" s="4" t="str">
        <x:v>Predict expression solubility or a solubility score.
Test sizes: DeepSol: 6,934; DeepSoluE: 1,454; ProtSolM: 7,173; eSOL: 311</x:v>
      </x:c>
      <x:c r="C16" s="4" t="str">
        <x:v>Will the protein be soluble, or how soluble is it?</x:v>
      </x:c>
      <x:c r="D16" s="4" t="str">
        <x:v>ESM2-Adapter, Table 1 means: DeepSol AUROC 0.8467; DeepSoluE AUROC 0.7699; ProtSolM AUROC 0.8572; eSOL Spearman 0.2761</x:v>
      </x:c>
    </x:row>
    <x:row r="17" ht="84" customHeight="1">
      <x:c r="A17" s="24" t="str">
        <x:v>PFMBench localization and sorting-signal panel</x:v>
      </x:c>
      <x:c r="B17" s="14" t="str">
        <x:v>Predict membrane/subcellular localization and targeting signals.
Test sizes: DeepLocMulti: 751; DeepLoc2Multi: 2,744; DeepLocBinary: 848; SortingSignal: 186</x:v>
      </x:c>
      <x:c r="C17" s="14" t="str">
        <x:v>Where will this protein localize and what sorting signals does it contain?</x:v>
      </x:c>
      <x:c r="D17" s="14" t="str">
        <x:v>ESM2-Adapter, Table 1 means: DeepLocMulti Accuracy 0.7666; DeepLoc2Multi F1 0.7505; DeepLocBinary AUROC 0.9338; SortingSignal F1 0.8598</x:v>
      </x:c>
    </x:row>
    <x:row r="18" ht="84" customHeight="1">
      <x:c r="A18" s="34" t="str">
        <x:v>PFMBench protein and metal-interaction panel</x:v>
      </x:c>
      <x:c r="B18" s="4" t="str">
        <x:v>Protein-pair interaction, affinity score and metal-binding labels.
Test sizes: Human_PPI: 195; Yeast_PPI: 335; PPI_Affinity: 326; MetalIonBinding: 718</x:v>
      </x:c>
      <x:c r="C18" s="4" t="str">
        <x:v>Do these proteins interact, and does the protein bind a metal ion?</x:v>
      </x:c>
      <x:c r="D18" s="4" t="str">
        <x:v>ESM2-Adapter, Table 1 means: Human_PPI AUROC 0.4828; Yeast_PPI AUROC 0.5343; PPI_Affinity Spearman -0.0047; MetalIonBinding Accuracy 0.7066</x:v>
      </x:c>
    </x:row>
    <x:row r="19" ht="112" customHeight="1">
      <x:c r="A19" s="24" t="str">
        <x:v>PFMBench production and enzyme-operating panel</x:v>
      </x:c>
      <x:c r="B19" s="14" t="str">
        <x:v>Predict operating conditions, production labels and related functional outcomes.
Test sizes: Optimal_pH: 959; DeepET_Topt: 185; Cloning_CLF: 2,778; Material_Production: 2,775; Enzyme_Eff.: 1,290; Antib._Res.: 339; Thermostability: 4,184</x:v>
      </x:c>
      <x:c r="C19" s="14" t="str">
        <x:v>Which candidate has favorable measured production or activity characteristics?</x:v>
      </x:c>
      <x:c r="D19" s="14" t="str">
        <x:v>ESM2-Adapter, Table 1 means: Optimal_pH Spearman 0.0564; DeepET_Topt Spearman 0.2628; Cloning_CLF AUROC 0.8160; Material_Production Accuracy 0.7982; Enzyme_Eff. Spearman 0.2173; Antib._Res. Accuracy 0.6185; Thermostability AUROC 0.9553</x:v>
      </x:c>
    </x:row>
    <x:row r="20" ht="10" customHeight="1">
      <x:c r="A20" s="4"/>
      <x:c r="B20" s="4"/>
      <x:c r="C20" s="4"/>
      <x:c r="D20" s="4"/>
    </x:row>
    <x:row r="21" ht="30" customHeight="1">
      <x:c r="A21" s="31" t="str">
        <x:v>2. Protein function, annotations and descriptions</x:v>
      </x:c>
      <x:c r="B21" s="31"/>
      <x:c r="C21" s="31"/>
      <x:c r="D21" s="31"/>
    </x:row>
    <x:row r="22" ht="84" customHeight="1">
      <x:c r="A22" s="34" t="str">
        <x:v>DeepFRI-derived EC and GO test splits</x:v>
      </x:c>
      <x:c r="B22" s="4" t="str">
        <x:v>Predict enzyme and Gene Ontology labels.
ProtST's 95%-identity split setting.
Exact processed test counts not recovered here.</x:v>
      </x:c>
      <x:c r="C22" s="4" t="str">
        <x:v>What reaction does this enzyme catalyze? Which GO functions, processes and locations are associated with it?</x:v>
      </x:c>
      <x:c r="D22" s="4" t="str">
        <x:v>Fmax, ProtST-ESM-2 vs ESM-2:
EC 0.878 vs 0.874;
GO-BP 0.482 vs 0.472;
GO-MF 0.668 vs 0.662;
GO-CC 0.487 vs 0.472.</x:v>
      </x:c>
    </x:row>
    <x:row r="23" ht="98" customHeight="1">
      <x:c r="A23" s="24" t="str">
        <x:v>Mol-Instructions — four protein-description subsets</x:v>
      </x:c>
      <x:c r="B23" s="14" t="str">
        <x:v>Protein function, general functional description, catalytic activity, domain/motif.
Original Mol-Instructions paper: approximately 1,000 test examples per task; exact released counts not recomputed.</x:v>
      </x:c>
      <x:c r="C23" s="14" t="str">
        <x:v>Describe the protein's function, catalytic activity, or annotated domains and motifs.</x:v>
      </x:c>
      <x:c r="D23" s="14" t="str">
        <x:v>Official Mol-Instructions LLaMA model ROUGE-L:
function 0.43;
general description 0.44;
catalytic activity 0.52;
domain/motif 0.46.</x:v>
      </x:c>
    </x:row>
    <x:row r="24" ht="84" customHeight="1">
      <x:c r="A24" s="34" t="str">
        <x:v>NatureLM's NCBI protein-description holdout</x:v>
      </x:c>
      <x:c r="B24" s="4" t="str">
        <x:v>Generate the held-out functional description of a protein.
Temporal split; exact test count and frozen processed release not recovered.</x:v>
      </x:c>
      <x:c r="C24" s="4" t="str">
        <x:v>Given this protein sequence, describe its function.</x:v>
      </x:c>
      <x:c r="D24" s="4" t="str">
        <x:v>ROUGE-L:
NatureLM-8x7B 0.585;
fine-tuned Llama-3-8B 0.324;
GPT-4o 0.091.</x:v>
      </x:c>
    </x:row>
    <x:row r="25" ht="72" customHeight="1">
      <x:c r="A25" s="24" t="str">
        <x:v>BioReason-Pro temporal GO test</x:v>
      </x:c>
      <x:c r="B25" s="14" t="str">
        <x:v>Recover newly available protein-function annotations.
Released test: 8,630 proteins.</x:v>
      </x:c>
      <x:c r="C25" s="14" t="str">
        <x:v>Which functional annotations apply to this protein, using only permitted input context?</x:v>
      </x:c>
      <x:c r="D25" s="14" t="str">
        <x:v>Official repository headline: BioReason-Pro 73.6% Fmax.</x:v>
      </x:c>
    </x:row>
    <x:row r="26" ht="84" customHeight="1">
      <x:c r="A26" s="34" t="str">
        <x:v>ProtST reaction classification — zero/few-shot</x:v>
      </x:c>
      <x:c r="B26" s="4" t="str">
        <x:v>Which of the specified reaction categories matches this protein?
ProtST zero-shot/few-shot experiment; shots and ensemble settings must be recorded.</x:v>
      </x:c>
      <x:c r="C26" s="4" t="str">
        <x:v>Which of the specified reaction categories matches this protein?</x:v>
      </x:c>
      <x:c r="D26" s="4" t="str">
        <x:v>Zero-/few-shot results are reported, but a numeric value for the exact zero-shot reaction setting is not transcribed here. Do not substitute the fully supervised reaction score.</x:v>
      </x:c>
    </x:row>
    <x:row r="27" ht="98" customHeight="1">
      <x:c r="A27" s="24" t="str">
        <x:v>Bio-posttrain species-held-out protein GO</x:v>
      </x:c>
      <x:c r="B27" s="14" t="str">
        <x:v>Does protein-function prediction transfer to the held-out species?
Two held-out species in the paper; exact species/counts not established in this review. Also discusses inherited temporal protocol.</x:v>
      </x:c>
      <x:c r="C27" s="14" t="str">
        <x:v>Does protein-function prediction transfer to the held-out species?</x:v>
      </x:c>
      <x:c r="D27" s="14" t="str">
        <x:v>Species-held-out GO evaluation is described; a verified numeric result for the exact protein split is not transcribed here.</x:v>
      </x:c>
    </x:row>
    <x:row r="28" ht="84" customHeight="1">
      <x:c r="A28" s="34" t="str">
        <x:v>PFMBench GO/EC annotation panel</x:v>
      </x:c>
      <x:c r="B28" s="4" t="str">
        <x:v>Predict GO/EC labels using PFMBench's processed splits.
Test sizes: GO-CC: 1,400; GO-MF: 2,787; GO-BP: 2,664; EC: 1,604</x:v>
      </x:c>
      <x:c r="C28" s="4" t="str">
        <x:v>Which functions, processes and cellular components match this protein?</x:v>
      </x:c>
      <x:c r="D28" s="4" t="str">
        <x:v>ESM2-Adapter, Table 1 means: GO-CC F1 0.6130; GO-MF F1 0.6488; GO-BP F1 0.5412; EC F1 0.7379</x:v>
      </x:c>
    </x:row>
    <x:row r="29" ht="10" customHeight="1">
      <x:c r="A29" s="4"/>
      <x:c r="B29" s="4"/>
      <x:c r="C29" s="4"/>
      <x:c r="D29" s="4"/>
    </x:row>
    <x:row r="30" ht="30" customHeight="1">
      <x:c r="A30" s="31" t="str">
        <x:v>3. Mutation-effect interpretation</x:v>
      </x:c>
      <x:c r="B30" s="31"/>
      <x:c r="C30" s="31"/>
      <x:c r="D30" s="31"/>
    </x:row>
    <x:row r="31" ht="98" customHeight="1">
      <x:c r="A31" s="24" t="str">
        <x:v>MutaDescribe — mutation explanation</x:v>
      </x:c>
      <x:c r="B31" s="14" t="str">
        <x:v>Explain the functional effect of one mutation.
Main test: Easy 460; Medium 384; Hard 404 mutation examples.
Separate temporal test: 1,611 (not the reported main averages).</x:v>
      </x:c>
      <x:c r="C31" s="14" t="str">
        <x:v>What functional effect is associated with this amino-acid substitution?</x:v>
      </x:c>
      <x:c r="D31" s="14" t="str">
        <x:v>Main-test average ROUGE-L / BLEU-2 (0–100):
MutaPLM 21.34 / 13.61;
GPT-4-0613, 5-shot kNN: 12.31 / 9.69.</x:v>
      </x:c>
    </x:row>
    <x:row r="32" ht="10" customHeight="1">
      <x:c r="A32" s="4"/>
      <x:c r="B32" s="4"/>
      <x:c r="C32" s="4"/>
      <x:c r="D32" s="4"/>
    </x:row>
    <x:row r="33" ht="30" customHeight="1">
      <x:c r="A33" s="31" t="str">
        <x:v>4. Mutation ranking, affinity and local optimization</x:v>
      </x:c>
      <x:c r="B33" s="31"/>
      <x:c r="C33" s="31"/>
      <x:c r="D33" s="31"/>
    </x:row>
    <x:row r="34" ht="84" customHeight="1">
      <x:c r="A34" s="34" t="str">
        <x:v>ProteinGym substitutions — historical ProtST evaluation</x:v>
      </x:c>
      <x:c r="B34" s="4" t="str">
        <x:v>Rank mutation outcomes across experimental assays.
Use the historical ProteinGym snapshot in ProtST.
Do not attach the modern 217-assay count to these old results.</x:v>
      </x:c>
      <x:c r="C34" s="4" t="str">
        <x:v>Which variant sequence has a higher experimental score in this assay?</x:v>
      </x:c>
      <x:c r="D34" s="4" t="str">
        <x:v>UniProt-level mean Spearman:
ProtST-ESM-1b 0.412;
ESM-1b 0.358;
ESM-1v 0.372;
Tranception L without retrieval 0.401.</x:v>
      </x:c>
    </x:row>
    <x:row r="35" ht="84" customHeight="1">
      <x:c r="A35" s="24" t="str">
        <x:v>PG-LLM / ProteinGym-LLM — eval-data-v1.2</x:v>
      </x:c>
      <x:c r="B35" s="14" t="str">
        <x:v>Prompt an LLM to rank shuffled full variant sequences.
217 assays; sets of 10, 50 or 100 variants; three seeds.</x:v>
      </x:c>
      <x:c r="C35" s="14" t="str">
        <x:v>Given the reference, assay description and candidate sequences, rank the candidates.</x:v>
      </x:c>
      <x:c r="D35" s="14" t="str">
        <x:v>No verified release-matched model score was recovered. This does not mean zero performance.</x:v>
      </x:c>
    </x:row>
    <x:row r="36" ht="126" customHeight="1">
      <x:c r="A36" s="34" t="str">
        <x:v>PFArena — four task settings</x:v>
      </x:c>
      <x:c r="B36" s="4" t="str">
        <x:v>T1 propose single substitutions; T2 rank unmeasured combinations; T3 use a measured anchor; T4 use component measurements.
T1: 123 assays / 594,695 measured singles.
T2: 74 assays / 6,288 candidates.
T3: 67 assays / 3,648 candidates.
T4: 29 assays / 2,638 candidates.</x:v>
      </x:c>
      <x:c r="C36" s="4" t="str">
        <x:v>T1: which mutations should we test? T2–T4: rank the supplied combinations under the permitted evidence.</x:v>
      </x:c>
      <x:c r="D36" s="4" t="str">
        <x:v>Paper's GPT-6 Astra vs ESM-2:
T1 Recall@40 0.0254 vs 0.0370;
T2 Spearman 0.2726 vs 0.2539;
T3 0.3516 vs 0.3128;
T4 0.5988 vs 0.3153.</x:v>
      </x:c>
    </x:row>
    <x:row r="37" ht="84" customHeight="1">
      <x:c r="A37" s="24" t="str">
        <x:v>MutaDescribe — mutation engineering</x:v>
      </x:c>
      <x:c r="B37" s="14" t="str">
        <x:v>Find the reference replacement residue or recover a mutation within 50 proposals.
Same main Easy/Medium/Hard split as explanation: 460 / 384 / 404 examples.</x:v>
      </x:c>
      <x:c r="C37" s="14" t="str">
        <x:v>With a position supplied, choose its replacement. Without a position, propose 50 single substitutions.</x:v>
      </x:c>
      <x:c r="D37" s="14" t="str">
        <x:v>MutaPLM vs fine-tuned ESM-2:
position known accuracy 53.51% vs 51.43%;
position unknown Recall@50 40.94% vs 33.77%.</x:v>
      </x:c>
    </x:row>
    <x:row r="38" ht="84" customHeight="1">
      <x:c r="A38" s="34" t="str">
        <x:v>MutaPLM low-data fitness regression</x:v>
      </x:c>
      <x:c r="B38" s="4" t="str">
        <x:v>With a small labeled sample, can features predict held-out assay outcomes?
192 training + 48 validation examples; five seeds; assay-specific remaining test records</x:v>
      </x:c>
      <x:c r="C38" s="4" t="str">
        <x:v>With a small labeled sample, can features predict held-out assay outcomes?</x:v>
      </x:c>
      <x:c r="D38" s="4" t="str">
        <x:v>Low-data regression curves are reported with 192 train / 48 validation examples; no exact assay-specific point estimate is transcribed here.</x:v>
      </x:c>
    </x:row>
    <x:row r="39" ht="112" customHeight="1">
      <x:c r="A39" s="24" t="str">
        <x:v>AbBiBench antibody affinity ranking</x:v>
      </x:c>
      <x:c r="B39" s="14" t="str">
        <x:v>Rank antibody variants against target-specific experimental affinity measurements.
Paper: 155,853 heavy-chain variants, 9 antigens (Section 3.1 lists 11 datasets). Current repository leaderboard: 16 assay columns; expanded payload count not established.</x:v>
      </x:c>
      <x:c r="C39" s="14" t="str">
        <x:v>For this antigen, rank the antibody variants by binding affinity.</x:v>
      </x:c>
      <x:c r="D39" s="14" t="str">
        <x:v>Current 16-column leaderboard mean Spearman: ProteinMPNN 0.30; ESM-IF1 0.28; AntiFold 0.21; ESM2 0.02.</x:v>
      </x:c>
    </x:row>
    <x:row r="40" ht="84" customHeight="1">
      <x:c r="A40" s="34" t="str">
        <x:v>ATOM3D SKEMPI-derived mutation affinity (MSP)</x:v>
      </x:c>
      <x:c r="B40" s="4" t="str">
        <x:v>Predict whether a protein-interface mutation increases binding affinity.
Source construction: 893 positive and 3,255 negative mutations; exact test size not recovered.</x:v>
      </x:c>
      <x:c r="C40" s="4" t="str">
        <x:v>Does this interface mutation improve binding under the supplied molecular context?</x:v>
      </x:c>
      <x:c r="D40" s="4" t="str">
        <x:v>AUROC: GNN 0.621; 3D-CNN 0.574.</x:v>
      </x:c>
    </x:row>
    <x:row r="41" ht="112" customHeight="1">
      <x:c r="A41" s="24" t="str">
        <x:v>PFMBench mutation/fitness panel</x:v>
      </x:c>
      <x:c r="B41" s="14" t="str">
        <x:v>Predict measured variant outcomes across its assay panels.
Test sizes: PETA_CHS_SOL: 484; PETA_LGK_SOL: 1,914; PETA_TEM_SOL: 808; FLIP_AAV: 16,517; FLIP_GB1: 1,745; TAPE_Stab: 6,898; TAPE_Fluor: 27,217; BetaLactamase: 520</x:v>
      </x:c>
      <x:c r="C41" s="14" t="str">
        <x:v>Which of these variants should perform best in the stated assay?</x:v>
      </x:c>
      <x:c r="D41" s="14" t="str">
        <x:v>ESM2-Adapter, Table 1 means: PETA_CHS_SOL Spearman 0.2738; PETA_LGK_SOL Spearman 0.1558; PETA_TEM_SOL Spearman 0.1433; FLIP_AAV Spearman 0.9412; FLIP_GB1 Spearman 0.9517; TAPE_Stab Spearman 0.3211; TAPE_Fluor Spearman 0.6812; BetaLactamase Spearman 0.5740</x:v>
      </x:c>
    </x:row>
    <x:row r="42" ht="84" customHeight="1">
      <x:c r="A42" s="34" t="str">
        <x:v>PFMBench peptide–MHC and TCR–pMHC panel</x:v>
      </x:c>
      <x:c r="B42" s="4" t="str">
        <x:v>Predict peptide–MHC and TCR–pMHC interaction labels.
Test sizes: Pept.HLA/MHC Aff.: 8,406; TCR.PMHC Aff.: 2,482</x:v>
      </x:c>
      <x:c r="C42" s="4" t="str">
        <x:v>Does this peptide bind this MHC; does this TCR recognize the resulting pMHC?</x:v>
      </x:c>
      <x:c r="D42" s="4" t="str">
        <x:v>ESM2-Adapter, Table 1 means: Pept.HLA/MHC Aff. AUROC 0.9631; TCR.PMHC Aff. AUROC 0.9312</x:v>
      </x:c>
    </x:row>
    <x:row r="43" ht="84" customHeight="1">
      <x:c r="A43" s="24" t="str">
        <x:v>PFMBench ProteinGym zero-shot protocol</x:v>
      </x:c>
      <x:c r="B43" s="14" t="str">
        <x:v>Rank mutation outcomes without fitting a task-specific head.
Paper table does not specify the release-matched evaluation denominator.</x:v>
      </x:c>
      <x:c r="C43" s="14" t="str">
        <x:v>Rank variants using pretrained-model scores.</x:v>
      </x:c>
      <x:c r="D43" s="14" t="str">
        <x:v>Table 1 reports pretrained ESM2 ProteinGym Spearman 0.4390; do not compare directly to a different snapshot's score.</x:v>
      </x:c>
    </x:row>
    <x:row r="44" ht="10" customHeight="1">
      <x:c r="A44" s="4"/>
      <x:c r="B44" s="4"/>
      <x:c r="C44" s="4"/>
      <x:c r="D44" s="4"/>
    </x:row>
    <x:row r="45" ht="30" customHeight="1">
      <x:c r="A45" s="31" t="str">
        <x:v>5. Scientific evidence and biological knowledge</x:v>
      </x:c>
      <x:c r="B45" s="31"/>
      <x:c r="C45" s="31"/>
      <x:c r="D45" s="31"/>
    </x:row>
    <x:row r="46" ht="112" customHeight="1">
      <x:c r="A46" s="34" t="str">
        <x:v>LAB-Bench — research tasks</x:v>
      </x:c>
      <x:c r="B46" s="4" t="str">
        <x:v>Read literature, databases, supplemental information, figures/tables; solve sequence/procedure questions.
Original full evaluation: 2,457 questions.
LitQA2 248; SuppQA 102; FigQA 226; TableQA 305; DbQA 650; ProtocolQA 135; SeqQA 750; Cloning 41.</x:v>
      </x:c>
      <x:c r="C46" s="4" t="str">
        <x:v>What did this paper report? Which table condition performs best? What operation should be applied to this sequence?</x:v>
      </x:c>
      <x:c r="D46" s="4" t="str">
        <x:v>Historical 2024 GPT-4o accuracy:
LitQA2 27%; SuppQA 13%; FigQA 29%; TableQA 71%; ProtocolQA 53%; Cloning 28%.
DbQA variant-from-sequence 42%; SeqQA GC% 29%, ORF-sequence 50% (SUBTASK values only).</x:v>
      </x:c>
    </x:row>
    <x:row r="47" ht="84" customHeight="1">
      <x:c r="A47" s="24" t="str">
        <x:v>ProteinLMBench protein-understanding questions</x:v>
      </x:c>
      <x:c r="B47" s="14" t="str">
        <x:v>Answer protein-knowledge multiple-choice questions.
944 manually verified questions; six choices per question.</x:v>
      </x:c>
      <x:c r="C47" s="14" t="str">
        <x:v>Which protein-related statement is consistent with the described mechanism?</x:v>
      </x:c>
      <x:c r="D47" s="14" t="str">
        <x:v>InternLM2-7B after SFT: 58.26% accuracy; SSL+SFT: 62.18%.</x:v>
      </x:c>
    </x:row>
    <x:row r="48" ht="112" customHeight="1">
      <x:c r="A48" s="34" t="str">
        <x:v>PubMedQA research-abstract questions</x:v>
      </x:c>
      <x:c r="B48" s="4" t="str">
        <x:v>Answer yes/no/maybe from a biomedical abstract without its conclusion.
1,000 expert-labeled records total; official evaluation split must be pinned. 61.2K unlabeled and 211.3K artificial records are separate training resources.</x:v>
      </x:c>
      <x:c r="C48" s="4" t="str">
        <x:v>Do the results in this abstract support the question posed by the study?</x:v>
      </x:c>
      <x:c r="D48" s="4" t="str">
        <x:v>Original BioBERT multi-phase training: 68.1% accuracy; reported human baseline 78.0%. Historical results.</x:v>
      </x:c>
    </x:row>
    <x:row r="49" ht="10" customHeight="1">
      <x:c r="A49" s="4"/>
      <x:c r="B49" s="4"/>
      <x:c r="C49" s="4"/>
      <x:c r="D49" s="4"/>
    </x:row>
    <x:row r="50" ht="30" customHeight="1">
      <x:c r="A50" s="31" t="str">
        <x:v>6. Protein design</x:v>
      </x:c>
      <x:c r="B50" s="31"/>
      <x:c r="C50" s="31"/>
      <x:c r="D50" s="31"/>
    </x:row>
    <x:row r="51" ht="72" customHeight="1">
      <x:c r="A51" s="24" t="str">
        <x:v>RAbD — CDR-H3 redesign</x:v>
      </x:c>
      <x:c r="B51" s="14" t="str">
        <x:v>Generate the withheld antibody H3 sequence and structure in its specified complex context.
60 antibody–antigen complexes.</x:v>
      </x:c>
      <x:c r="C51" s="14" t="str">
        <x:v>Design the missing H3 loop in this fixed antibody–antigen context.</x:v>
      </x:c>
      <x:c r="D51" s="14" t="str">
        <x:v>Proteo-R1 vs BoltzGen:
AAR 10.75% vs 39.07%;
RMSD 2.46 Å vs 2.69 Å;
DockQ 0.801 vs 0.473.</x:v>
      </x:c>
    </x:row>
    <x:row r="52" ht="84" customHeight="1">
      <x:c r="A52" s="34" t="str">
        <x:v>SAbDab — Proteo-R1 all-CDR holdout</x:v>
      </x:c>
      <x:c r="B52" s="4" t="str">
        <x:v>Redesign designated antibody loops while antigen/framework context stays fixed.
Paper-specific temporal/cluster split; exact processed test count not recovered.</x:v>
      </x:c>
      <x:c r="C52" s="4" t="str">
        <x:v>Design all designated missing antibody loops while keeping the supplied target/framework context.</x:v>
      </x:c>
      <x:c r="D52" s="4" t="str">
        <x:v>Proteo-R1 vs MFDesign:
H3 RMSD 3.81 Å vs 3.71 Å;
Loop-RMSD 4.51 Å vs 4.28 Å;
IMP 56.58 vs 59.16 (paper's scale).</x:v>
      </x:c>
    </x:row>
    <x:row r="53" ht="98" customHeight="1">
      <x:c r="A53" s="24" t="str">
        <x:v>CATH 4.2 / TS50 / TS500 inverse folding</x:v>
      </x:c>
      <x:c r="B53" s="14" t="str">
        <x:v>Given backbone coordinates, design a compatible amino-acid sequence; native sequence recovery.
CATH 4.2 exact test count not re-established; TS50/TS500 named test suites (50/500 nominal structures; exact retained manifests must be checked).</x:v>
      </x:c>
      <x:c r="C53" s="14" t="str">
        <x:v>Which sequence should adopt this supplied backbone?</x:v>
      </x:c>
      <x:c r="D53" s="14" t="str">
        <x:v>PiFold repository: CATH recovery 51.66%; TS50 58.72%; TS500 60.42%.</x:v>
      </x:c>
    </x:row>
    <x:row r="54" ht="98" customHeight="1">
      <x:c r="A54" s="34" t="str">
        <x:v>ProteinBench inverse folding — CASP15 / CAMEO / synthetic backbones</x:v>
      </x:c>
      <x:c r="B54" s="4" t="str">
        <x:v>Design sequences for supplied natural and generated backbones.
32 CASP15 structures; 332 CAMEO complexes; synthetic backbones: 10 at each of 5 lengths (100–500 aa).</x:v>
      </x:c>
      <x:c r="C54" s="4" t="str">
        <x:v>Design a sequence for this backbone and test whether it refolds consistently.</x:v>
      </x:c>
      <x:c r="D54" s="4" t="str">
        <x:v>AAR, CASP15/CAMEO: LM-Design 0.516/0.570; ProteinMPNN 0.450/0.468.</x:v>
      </x:c>
    </x:row>
    <x:row r="55" ht="98" customHeight="1">
      <x:c r="A55" s="24" t="str">
        <x:v>ProteinBench unconditional backbone generation</x:v>
      </x:c>
      <x:c r="B55" s="14" t="str">
        <x:v>Generate plausible, diverse backbones; score refolding consistency.
Length-stratified generation at 100/200/300/400/500 aa; 100 single-chain reference structures. Exact generated count must follow the release.</x:v>
      </x:c>
      <x:c r="C55" s="14" t="str">
        <x:v>Generate a new protein backbone of the requested length.</x:v>
      </x:c>
      <x:c r="D55" s="14" t="str">
        <x:v>At length 100: RFdiffusion scTM 0.98 ± 0.12 and scRMSD 0.48 ± 0.56 Å; FrameFlow 0.94 ± 0.08 and 0.70 ± 0.70 Å.</x:v>
      </x:c>
    </x:row>
    <x:row r="56" ht="84" customHeight="1">
      <x:c r="A56" s="34" t="str">
        <x:v>ProteinBench unconditional sequence generation</x:v>
      </x:c>
      <x:c r="B56" s="4" t="str">
        <x:v>Generate amino-acid sequences; assess predicted structure, diversity and novelty.
50 sequences per model at each length 100, 200, 300 and 500.</x:v>
      </x:c>
      <x:c r="C56" s="4" t="str">
        <x:v>Generate a novel protein sequence of the requested length.</x:v>
      </x:c>
      <x:c r="D56" s="4" t="str">
        <x:v>At length 100, predicted AF2 pLDDT: DPLM-650M 85.38 ± 14.20; ProGen2-700M 64.00 ± 21.26.</x:v>
      </x:c>
    </x:row>
    <x:row r="57" ht="84" customHeight="1">
      <x:c r="A57" s="24" t="str">
        <x:v>ProteinBench joint sequence–structure generation</x:v>
      </x:c>
      <x:c r="B57" s="14" t="str">
        <x:v>Generate a sequence and backbone jointly; evaluate consistency and diversity.
Length-stratified generated samples; exact per-setting candidate count not recovered.</x:v>
      </x:c>
      <x:c r="C57" s="14" t="str">
        <x:v>Generate a mutually compatible protein sequence and structure.</x:v>
      </x:c>
      <x:c r="D57" s="14" t="str">
        <x:v>Multiflow at length 100: scTM 0.96 ± 0.04; scRMSD 1.10 ± 0.71 Å. At length 200: scTM 0.95; scRMSD 1.61 Å.</x:v>
      </x:c>
    </x:row>
    <x:row r="58" ht="84" customHeight="1">
      <x:c r="A58" s="34" t="str">
        <x:v>MotifBench functional-motif scaffolding</x:v>
      </x:c>
      <x:c r="B58" s="4" t="str">
        <x:v>Build a protein around a fixed structural motif; evaluate solutions under the official pipeline.
30 motif problems; standard submission 100 scaffolds per problem.</x:v>
      </x:c>
      <x:c r="C58" s="4" t="str">
        <x:v>Design the surrounding protein while preserving this specified motif geometry.</x:v>
      </x:c>
      <x:c r="D58" s="4" t="str">
        <x:v>Official leaderboard snapshot: RFdiffusion3 43.52 ± 1.35 (Aug 2026); RFdiffusion 21.95 (Feb 2025), in MotifBench-score units.</x:v>
      </x:c>
    </x:row>
    <x:row r="59" ht="98" customHeight="1">
      <x:c r="A59" s="24" t="str">
        <x:v>ProteinBench motif scaffolding — legacy motif panel</x:v>
      </x:c>
      <x:c r="B59" s="14" t="str">
        <x:v>Condition generation on a specified molecular motif.
Legacy 17 (25) motif-problem panel described by ProteinBench; not MotifBench's separate 30-problem set.</x:v>
      </x:c>
      <x:c r="C59" s="14" t="str">
        <x:v>Generate a scaffold that preserves these motif residues and their arrangement.</x:v>
      </x:c>
      <x:c r="D59" s="14" t="str">
        <x:v>Comparative motif-scaffolding results are reported; exact figure-derived score not transcribed.</x:v>
      </x:c>
    </x:row>
    <x:row r="60" ht="84" customHeight="1">
      <x:c r="A60" s="34" t="str">
        <x:v>ProteinBench antibody design — processed RAbD</x:v>
      </x:c>
      <x:c r="B60" s="4" t="str">
        <x:v>Redesign antibody CDR-H3 using the benchmark's specific preprocessing.
55 retained RAbD complexes; differs from the 60-complex protocol in the earlier catalog.</x:v>
      </x:c>
      <x:c r="C60" s="4" t="str">
        <x:v>Fill the H3 loop in this antibody–antigen context.</x:v>
      </x:c>
      <x:c r="D60" s="4" t="str">
        <x:v>DiffAb: AAR 35.04 ± 8.36%, RMSD 2.53 ± 0.60 Å; MEAN: AAR 33.47%, RMSD 1.82 Å.</x:v>
      </x:c>
    </x:row>
    <x:row r="61" ht="112" customHeight="1">
      <x:c r="A61" s="24" t="str">
        <x:v>CHIMERA-Bench epitope-conditioned antibody design</x:v>
      </x:c>
      <x:c r="B61" s="14" t="str">
        <x:v>CDR-H3 and all-CDR co-design; sequence, geometry, contacts, intended epitope and sequence liabilities.
2,922 complexes total. Test: 292 epitope-group; 292 antigen-fold; 293 temporal. Splits are alternatives, not additive test sets.</x:v>
      </x:c>
      <x:c r="C61" s="14" t="str">
        <x:v>Design antibody loops that contact this specified antigen region.</x:v>
      </x:c>
      <x:c r="D61" s="14" t="str">
        <x:v>Epitope-group H3: RAAD AAR 0.37, RMSD 1.75 Å, DockQ 0.58; dyMEAN EpiF1 0.23 (RAAD 0.11).</x:v>
      </x:c>
    </x:row>
    <x:row r="62" ht="98" customHeight="1">
      <x:c r="A62" s="34" t="str">
        <x:v>ProtDBench de novo target-binder design</x:v>
      </x:c>
      <x:c r="B62" s="4" t="str">
        <x:v>Produce computationally passing binders under equal end-to-end time.
10 target proteins; 24 h on one A100 per method/target setting. Includes generation, inverse folding and scoring.</x:v>
      </x:c>
      <x:c r="C62" s="4" t="str">
        <x:v>Design binders for this target within the fixed compute budget.</x:v>
      </x:c>
      <x:c r="D62" s="4" t="str">
        <x:v>PD-L1 passing-backbone counts: PXDesign 1,247; BoltzGen 549; RFdiffusion3 542; BindCraft 231. TNFα: PXDesign 57; BoltzGen 15.</x:v>
      </x:c>
    </x:row>
    <x:row r="63" ht="10" customHeight="1">
      <x:c r="A63" s="4"/>
      <x:c r="B63" s="4"/>
      <x:c r="C63" s="4"/>
      <x:c r="D63" s="4"/>
    </x:row>
    <x:row r="64" ht="30" customHeight="1">
      <x:c r="A64" s="31" t="str">
        <x:v>7. Structure and conformational prediction</x:v>
      </x:c>
      <x:c r="B64" s="31"/>
      <x:c r="C64" s="31"/>
      <x:c r="D64" s="31"/>
    </x:row>
    <x:row r="65" ht="84" customHeight="1">
      <x:c r="A65" s="24" t="str">
        <x:v>ATOM3D residue identity from local structure (RES)</x:v>
      </x:c>
      <x:c r="B65" s="14" t="str">
        <x:v>Identify a masked residue using its local atomic environment.
Test: 3,319 PDB structures yielding 1,261,342 local environments; train: 21,147 structures.</x:v>
      </x:c>
      <x:c r="C65" s="14" t="str">
        <x:v>Given this local structure with the central side chain removed, which amino acid occupies the center?</x:v>
      </x:c>
      <x:c r="D65" s="14" t="str">
        <x:v>ATOM3D 3D-CNN test accuracy: 0.451.</x:v>
      </x:c>
    </x:row>
    <x:row r="66" ht="84" customHeight="1">
      <x:c r="A66" s="34" t="str">
        <x:v>ATOM3D protein structure ranking (PSR)</x:v>
      </x:c>
      <x:c r="B66" s="4" t="str">
        <x:v>Rank predicted conformations by similarity to the reference structure.
CASP-derived target/decoy split; exact processed test-target/decoy counts not transcribed.</x:v>
      </x:c>
      <x:c r="C66" s="4" t="str">
        <x:v>Which candidate structure best matches this protein's native structure?</x:v>
      </x:c>
      <x:c r="D66" s="4" t="str">
        <x:v>Per-target mean Spearman: GNN 0.515; 3D-CNN 0.431. Global correlations are different metrics.</x:v>
      </x:c>
    </x:row>
    <x:row r="67" ht="84" customHeight="1">
      <x:c r="A67" s="24" t="str">
        <x:v>ProteinBench single-state folding — CAMEO 2022</x:v>
      </x:c>
      <x:c r="B67" s="14" t="str">
        <x:v>Predict a protein conformation from its sequence under the allowed information.
183 proteins (&lt;750 residues), released Aug–Oct 2022.</x:v>
      </x:c>
      <x:c r="C67" s="14" t="str">
        <x:v>Predict the three-dimensional structure of this protein sequence.</x:v>
      </x:c>
      <x:c r="D67" s="14" t="str">
        <x:v>AF2 mean/median TM-score 0.871/0.952, RMSD 3.21/1.64 Å; ESMFold 0.847/0.929 and 3.98/2.10 Å.</x:v>
      </x:c>
    </x:row>
    <x:row r="68" ht="98" customHeight="1">
      <x:c r="A68" s="34" t="str">
        <x:v>ProteinBench multistate conformations — apo/holo and BPTI</x:v>
      </x:c>
      <x:c r="B68" s="4" t="str">
        <x:v>Recover distinct conformations of the same protein.
Apo/holo: 91 protein pairs, 20 generated conformations per protein. BPTI: one 58-residue protein, 5 MD clusters, N=10/100/1000 samples.</x:v>
      </x:c>
      <x:c r="C68" s="4" t="str">
        <x:v>Generate an ensemble that captures both ligand-free and ligand-associated states.</x:v>
      </x:c>
      <x:c r="D68" s="4" t="str">
        <x:v>Apo/holo TM-ensemble: AlphaFlow-PDB 0.873; MSA-depth256 0.867. BPTI N=1000: ConfDiff-ESM-force ensemble RMSD 1.36 Å.</x:v>
      </x:c>
    </x:row>
    <x:row r="69" ht="84" customHeight="1">
      <x:c r="A69" s="24" t="str">
        <x:v>ProteinBench ensemble distribution — ATLAS</x:v>
      </x:c>
      <x:c r="B69" s="14" t="str">
        <x:v>Match dynamic conformational distributions rather than one reference fold.
82 held-out proteins; 250 generated conformations per protein.</x:v>
      </x:c>
      <x:c r="C69" s="14" t="str">
        <x:v>Sample conformations matching the reference dynamics of this protein.</x:v>
      </x:c>
      <x:c r="D69" s="14" t="str">
        <x:v>AlphaFlow-MD: per-target RMSF correlation 0.85 and PCA-Wasserstein 1.55; ConfDiff PCA-Wasserstein 1.41 (paper's units).</x:v>
      </x:c>
    </x:row>
    <x:row r="70" ht="112" customHeight="1">
      <x:c r="A70" s="34" t="str">
        <x:v>BioEmu benchmark collection — states, dynamics and free energy</x:v>
      </x:c>
      <x:c r="B70" s="4" t="str">
        <x:v>Conformational-state coverage, MD-distribution emulation and folding free energies.
Multiple panels: domain motion, local unfolding, cryptic pockets, MD emulation and experimental folding free energies. Exact panel sizes not re-counted.</x:v>
      </x:c>
      <x:c r="C70" s="4" t="str">
        <x:v>Does the sampled ensemble recover the reference states and folding preferences?</x:v>
      </x:c>
      <x:c r="D70" s="4" t="str">
        <x:v>Official model card: domain-motion coverage 83%; cryptic-pocket apo/holo coverage 55%/88%; experimental stability MAE ~0.9 kcal/mol, Spearman ~0.6.</x:v>
      </x:c>
    </x:row>
    <x:row r="71" ht="84" customHeight="1">
      <x:c r="A71" s="24" t="str">
        <x:v>PFMBench structure-derived prediction panel</x:v>
      </x:c>
      <x:c r="B71" s="14" t="str">
        <x:v>Predict residue contacts, fold classes and secondary structure.
Test sizes: Contact: 1,501; FoldClass: 1,630; SecondaryStructure: 8,262</x:v>
      </x:c>
      <x:c r="C71" s="14" t="str">
        <x:v>Which residues contact; which fold and local structural labels apply?</x:v>
      </x:c>
      <x:c r="D71" s="14" t="str">
        <x:v>ESM2-Adapter, Table 1 means: Contact Top L/5 0.7199; FoldClass Accuracy 0.7859; SecondaryStructure Accuracy 0.7601</x:v>
      </x:c>
    </x:row>
    <x:row r="72" ht="10" customHeight="1">
      <x:c r="A72" s="4"/>
      <x:c r="B72" s="4"/>
      <x:c r="C72" s="4"/>
      <x:c r="D72" s="4"/>
    </x:row>
    <x:row r="73" ht="30" customHeight="1">
      <x:c r="A73" s="31" t="str">
        <x:v>8. Biomedical visual evidence</x:v>
      </x:c>
      <x:c r="B73" s="31"/>
      <x:c r="C73" s="31"/>
      <x:c r="D73" s="31"/>
    </x:row>
    <x:row r="74" ht="154" customHeight="1">
      <x:c r="A74" s="34" t="str">
        <x:v>Biomedical VQA: VQA-RAD / SLAKE-English / PathVQA / VQA-Med 2019</x:v>
      </x:c>
      <x:c r="B74" s="4" t="str">
        <x:v>Can the model answer a question using the supplied medical image? / Can the model answer a question using the supplied medical image? / Can the model answer a question using the supplied medical image? / Can the model answer a question using the supplied medical image?
Distinct official task splits; exact test counts not re-established. Open/closed answer groups must remain separate.</x:v>
      </x:c>
      <x:c r="C74" s="4" t="str">
        <x:v>Can the model answer a question using the supplied medical image? Can the model answer a question using the supplied medical image? Can the model answer a question using the supplied medical image? Can the model answer a question using the supplied medical image?</x:v>
      </x:c>
      <x:c r="D74" s="4" t="str">
        <x:v>MedVInT-TD: 73.7% open-answer and 86.8% closed-answer accuracy on VQA-RAD after task-specific fine-tuning.
MedVInT-TE: 88.2% open-answer and 87.7% closed-answer accuracy on SLAKE after task-specific fine-tuning.
LLaVA-Med initialized from Vicuna: PathVQA 38.87 open-answer token recall and 91.65% closed-answer accuracy, after task-specific fine-tuning.
MedVInT-TE: 70.5% overall accuracy on VQA-Med 2019 after task-specific fine-tuning.</x:v>
      </x:c>
    </x:row>
    <x:row r="75" ht="84" customHeight="1">
      <x:c r="A75" s="24" t="str">
        <x:v>PMC-VQA figure question answering</x:v>
      </x:c>
      <x:c r="B75" s="14" t="str">
        <x:v>Can the model answer a question from a biomedical paper figure?
Reviewed v6: 50,000 initial test examples; 2,000 manually reviewed clean test examples.</x:v>
      </x:c>
      <x:c r="C75" s="14" t="str">
        <x:v>Can the model answer a question from a biomedical paper figure?</x:v>
      </x:c>
      <x:c r="D75" s="14" t="str">
        <x:v>The paper reports initial and manually cleaned PMC-VQA tests. A numeric result tied to an exact model and that exact split is not transcribed here.</x:v>
      </x:c>
    </x:row>
    <x:row r="76" ht="84" customHeight="1">
      <x:c r="A76" s="34" t="str">
        <x:v>LLaVA-Med biomedical visual conversations</x:v>
      </x:c>
      <x:c r="B76" s="4" t="str">
        <x:v>Can the model give useful biomedical explanations of a supplied image?
Published 50-image conversation-evaluation setting; teacher-generated text references.</x:v>
      </x:c>
      <x:c r="C76" s="4" t="str">
        <x:v>Can the model give useful biomedical explanations of a supplied image?</x:v>
      </x:c>
      <x:c r="D76" s="4" t="str">
        <x:v>GPT-assisted relative answer-quality comparisons are reported. A verified single aggregate for the specified qa50 setting is not transcribed here.</x:v>
      </x:c>
    </x:row>
    <x:row r="77" ht="10" customHeight="1">
      <x:c r="A77" s="4"/>
      <x:c r="B77" s="4"/>
      <x:c r="C77" s="4"/>
      <x:c r="D77" s="4"/>
    </x:row>
    <x:row r="78" ht="30" customHeight="1">
      <x:c r="A78" s="31" t="str">
        <x:v>9. Other biological modalities and molecular interactions</x:v>
      </x:c>
      <x:c r="B78" s="31"/>
      <x:c r="C78" s="31"/>
      <x:c r="D78" s="31"/>
    </x:row>
    <x:row r="79" ht="84" customHeight="1">
      <x:c r="A79" s="24" t="str">
        <x:v>Drug–target interaction: BioSNAP / Human / BindingDB</x:v>
      </x:c>
      <x:c r="B79" s="14" t="str">
        <x:v>Does a small molecule interact with a protein target?
Three source benchmarks; preserve each split/negative/threshold rule.</x:v>
      </x:c>
      <x:c r="C79" s="14" t="str">
        <x:v>Does a small molecule interact with a protein target?</x:v>
      </x:c>
      <x:c r="D79" s="14" t="str">
        <x:v>BioT5+ AUROC: BioSNAP 0.939 ± 0.001; Human 0.987 ± 0.001; BindingDB 0.964 ± 0.001.</x:v>
      </x:c>
    </x:row>
    <x:row r="80" ht="84" customHeight="1">
      <x:c r="A80" s="34" t="str">
        <x:v>BioReason KEGG pathway/disease</x:v>
      </x:c>
      <x:c r="B80" s="4" t="str">
        <x:v>Which disease is associated with the supplied variant and pathway context?
290 test entries in main table; 1,449 overall entries across splits.</x:v>
      </x:c>
      <x:c r="C80" s="4" t="str">
        <x:v>Which disease is associated with the supplied variant and pathway context?</x:v>
      </x:c>
      <x:c r="D80" s="4" t="str">
        <x:v>Evo2 + Qwen3-4B + GRPO: 98.28% accuracy, 93.05 macro-F1; Qwen3-4B-only: 90.00% accuracy, 79.66 macro-F1.</x:v>
      </x:c>
    </x:row>
    <x:row r="81" ht="98" customHeight="1">
      <x:c r="A81" s="24" t="str">
        <x:v>BioReason VEP coding and non-SNV</x:v>
      </x:c>
      <x:c r="B81" s="14" t="str">
        <x:v>Is this coding variant labeled pathogenic or benign? / Is this non-single-nucleotide variant labeled pathogenic or benign?
Coding: approximately 1.23K reported test cases; non-SNV: 873. Distinct datasets.</x:v>
      </x:c>
      <x:c r="C81" s="14" t="str">
        <x:v>Is this coding variant labeled pathogenic or benign? Is this non-single-nucleotide variant labeled pathogenic or benign?</x:v>
      </x:c>
      <x:c r="D81" s="14" t="str">
        <x:v>Evo2 + Qwen3-4B: 80.21% accuracy, 80.00 F1; Evo2-only: 70.07% accuracy, 49.19 F1.
Evo2 + Qwen3-4B: 83.85% accuracy, 85.02 F1; Evo2-only: 76.17% accuracy, 66.51 F1.</x:v>
      </x:c>
    </x:row>
    <x:row r="82" ht="84" customHeight="1">
      <x:c r="A82" s="34" t="str">
        <x:v>Bio-posttrain KEGG unseen-network holdout</x:v>
      </x:c>
      <x:c r="B82" s="4" t="str">
        <x:v>Does DNA/pathway reasoning generalize to unseen pathway networks?
Adapted KEGG split by pathway networks; not automatically BioReason's original 290-example test.</x:v>
      </x:c>
      <x:c r="C82" s="4" t="str">
        <x:v>Does DNA/pathway reasoning generalize to unseen pathway networks?</x:v>
      </x:c>
      <x:c r="D82" s="4" t="str">
        <x:v>Qwen3-4B DNA OOD accuracy: SFT 0.753; SFT+RL 0.917; biology-CPT+SFT+RL 0.970.</x:v>
      </x:c>
    </x:row>
    <x:row r="83" ht="84" customHeight="1">
      <x:c r="A83" s="24" t="str">
        <x:v>Bio-posttrain MEDEA expression-conditioned gene selection</x:v>
      </x:c>
      <x:c r="B83" s="14" t="str">
        <x:v>Which candidate gene is supported by the supplied disease/cell-expression context?
Held-out disease: hepatoblastoma; additional cell-type analyses reported.</x:v>
      </x:c>
      <x:c r="C83" s="14" t="str">
        <x:v>Which candidate gene is supported by the supplied disease/cell-expression context?</x:v>
      </x:c>
      <x:c r="D83" s="14" t="str">
        <x:v>The paper reports RNA target-selection ID/OOD experiments. An exact numeric result is not transcribed in this table.</x:v>
      </x:c>
    </x:row>
    <x:row r="84" ht="98" customHeight="1">
      <x:c r="A84" s="34" t="str">
        <x:v>ATOM3D protein–ligand affinity (LBA)</x:v>
      </x:c>
      <x:c r="B84" s="4" t="str">
        <x:v>Predict measured affinity for a protein–small-molecule complex.
30%-identity split: train 3,507, validation 466, test 490 complexes. The 60% split is a different protocol.</x:v>
      </x:c>
      <x:c r="C84" s="4" t="str">
        <x:v>What is the affinity of this ligand for this binding site?</x:v>
      </x:c>
      <x:c r="D84" s="4" t="str">
        <x:v>3D-CNN: RMSE 1.416, Spearman 0.553; GNN: RMSE 1.570, Spearman 0.628.</x:v>
      </x:c>
    </x:row>
    <x:row r="85" ht="84" customHeight="1">
      <x:c r="A85" s="24" t="str">
        <x:v>ATOM3D ligand efficacy (LEP)</x:v>
      </x:c>
      <x:c r="B85" s="14" t="str">
        <x:v>Predict whether a ligand activates a receptor using paired receptor states.
527 source small molecules; final retained train/test counts not transcribed.</x:v>
      </x:c>
      <x:c r="C85" s="14" t="str">
        <x:v>Does this ligand favor receptor activation in the benchmark?</x:v>
      </x:c>
      <x:c r="D85" s="14" t="str">
        <x:v>AUROC: GNN 0.740; 3D-CNN 0.589.</x:v>
      </x:c>
    </x:row>
    <x:row r="86" ht="84" customHeight="1">
      <x:c r="A86" s="34" t="str">
        <x:v>ATOM3D RNA structure ranking (RSR)</x:v>
      </x:c>
      <x:c r="B86" s="4" t="str">
        <x:v>Rank predicted RNA structures against a reference.
RNA-Puzzles 1–21; test puzzles 18–21, with decoys per target. Exact retained test-decoy count not re-counted.</x:v>
      </x:c>
      <x:c r="C86" s="4" t="str">
        <x:v>Which proposed RNA structure is closest to the reference?</x:v>
      </x:c>
      <x:c r="D86" s="4" t="str">
        <x:v>Mean per-target Spearman: 3D-CNN 0.264; GNN 0.234.</x:v>
      </x:c>
    </x:row>
    <x:row r="87" ht="72" customHeight="1">
      <x:c r="A87" s="24" t="str">
        <x:v>ATOM3D small-molecule properties (SMP / QM9)</x:v>
      </x:c>
      <x:c r="B87" s="14" t="str">
        <x:v>Predict quantum-chemical molecular properties.
Processed test 12,943 molecules (train 103,547; validation 12,943).</x:v>
      </x:c>
      <x:c r="C87" s="14" t="str">
        <x:v>Predict the dipole moment of this molecular structure.</x:v>
      </x:c>
      <x:c r="D87" s="14" t="str">
        <x:v>ENN dipole MAE 0.052 D; 3D-CNN 0.754 D. Property-specific scores must remain separate.</x:v>
      </x:c>
    </x:row>
    <x:row r="88" ht="72" customHeight="1">
      <x:c r="A88" s="34" t="str">
        <x:v>PFMBench PDBbind / BindingDB affinity panel</x:v>
      </x:c>
      <x:c r="B88" s="4" t="str">
        <x:v>Predict protein–ligand affinity scores under the PFMBench splits.
Test sizes: PDBBind: 1,836; BindingDB: 1,139</x:v>
      </x:c>
      <x:c r="C88" s="4" t="str">
        <x:v>Which ligand–protein pairs have stronger measured affinity?</x:v>
      </x:c>
      <x:c r="D88" s="4" t="str">
        <x:v>ESM2-Adapter, Table 1 means: PDBBind Spearman 0.1677; BindingDB Spearman 0.1922</x:v>
      </x:c>
    </x:row>
    <x:row r="89" ht="10" customHeight="1">
      <x:c r="A89" s="4"/>
      <x:c r="B89" s="4"/>
      <x:c r="C89" s="4"/>
      <x:c r="D89" s="4"/>
    </x:row>
  </x:sheetData>
  <x:mergeCells>
    <x:mergeCell ref="A1:D1"/>
    <x:mergeCell ref="A2:D2"/>
    <x:mergeCell ref="A5:D5"/>
    <x:mergeCell ref="A21:D21"/>
    <x:mergeCell ref="A30:D30"/>
    <x:mergeCell ref="A33:D33"/>
    <x:mergeCell ref="A45:D45"/>
    <x:mergeCell ref="A50:D50"/>
    <x:mergeCell ref="A64:D64"/>
    <x:mergeCell ref="A73:D73"/>
    <x:mergeCell ref="A78:D7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39" hidden="0" customWidth="1"/>
    <x:col min="3" max="3" width="16" hidden="0" customWidth="1"/>
    <x:col min="4" max="4" width="30" hidden="0" customWidth="1"/>
    <x:col min="5" max="5" width="40" hidden="0" customWidth="1"/>
    <x:col min="6" max="6" width="38" hidden="0" customWidth="1"/>
    <x:col min="7" max="7" width="45" hidden="0" customWidth="1"/>
    <x:col min="8" max="8" width="35" hidden="0" customWidth="1"/>
    <x:col min="9" max="9" width="45" hidden="0" customWidth="1"/>
  </x:cols>
  <x:sheetData>
    <x:row r="1" ht="38" customHeight="1">
      <x:c r="A1" s="10" t="str">
        <x:v>MASTER SELECTION TABLE</x:v>
      </x:c>
      <x:c r="B1" s="10"/>
      <x:c r="C1" s="10"/>
      <x:c r="D1" s="10"/>
      <x:c r="E1" s="10"/>
      <x:c r="F1" s="10"/>
      <x:c r="G1" s="10"/>
      <x:c r="H1" s="10"/>
      <x:c r="I1" s="10"/>
    </x:row>
    <x:row r="2" ht="36" customHeight="1">
      <x:c r="A2" s="16" t="str">
        <x:v>Filter by category or type, then edit Selection. This planning sheet does not change the execution agent's approved run scope.</x:v>
      </x:c>
      <x:c r="B2" s="16"/>
      <x:c r="C2" s="16"/>
      <x:c r="D2" s="16"/>
      <x:c r="E2" s="16"/>
      <x:c r="F2" s="16"/>
      <x:c r="G2" s="16"/>
      <x:c r="H2" s="16"/>
      <x:c r="I2" s="16"/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</x:row>
    <x:row r="4" ht="36" customHeight="1">
      <x:c r="A4" s="28" t="str">
        <x:v>Category</x:v>
      </x:c>
      <x:c r="B4" s="28" t="str">
        <x:v>Actual dataset / protocol</x:v>
      </x:c>
      <x:c r="C4" s="28" t="str">
        <x:v>Selection</x:v>
      </x:c>
      <x:c r="D4" s="28" t="str">
        <x:v>Evaluation type</x:v>
      </x:c>
      <x:c r="E4" s="28" t="str">
        <x:v>Test / source size</x:v>
      </x:c>
      <x:c r="F4" s="28" t="str">
        <x:v>Input interface</x:v>
      </x:c>
      <x:c r="G4" s="28" t="str">
        <x:v>Reported results</x:v>
      </x:c>
      <x:c r="H4" s="28" t="str">
        <x:v>Source status</x:v>
      </x:c>
      <x:c r="I4" s="28" t="str">
        <x:v>Key qualification</x:v>
      </x:c>
    </x:row>
    <x:row r="5" ht="56" customHeight="1">
      <x:c r="A5" s="14" t="str">
        <x:v>Protein properties, interactions and developability</x:v>
      </x:c>
      <x:c r="B5" s="14" t="str">
        <x:v>DeepSol solubility — PEER split</x:v>
      </x:c>
      <x:c r="C5" s="14" t="str">
        <x:v>Undecided</x:v>
      </x:c>
      <x:c r="D5" s="14" t="str">
        <x:v>Benchmark</x:v>
      </x:c>
      <x:c r="E5" s="14" t="str">
        <x:v>Test: 1,999 proteins.
Train: 62,478; validation: 6,942 (PEER Table 1).</x:v>
      </x:c>
      <x:c r="F5" s="14" t="str">
        <x:v>Protein sequence</x:v>
      </x:c>
      <x:c r="G5" s="14" t="str">
        <x:v>Accuracy: BioT5+ 74.37 ± 0.19%; BioT5 74.65 ± 0.49%.</x:v>
      </x:c>
      <x:c r="H5" s="14" t="str">
        <x:v>Carried forward from 14 Oct 2026 source-linked workbook; not independently rerun</x:v>
      </x:c>
      <x:c r="I5" s="14" t="str">
        <x:v>Task-trained models; BioT5+ is multitask and BioT5 single-task. Count is PEER's published split, not a new loader count.</x:v>
      </x:c>
    </x:row>
    <x:row r="6" ht="56" customHeight="1">
      <x:c r="A6" s="4" t="str">
        <x:v>Protein properties, interactions and developability</x:v>
      </x:c>
      <x:c r="B6" s="4" t="str">
        <x:v>DeepLoc — binary and 10-compartment localization</x:v>
      </x:c>
      <x:c r="C6" s="4" t="str">
        <x:v>Undecided</x:v>
      </x:c>
      <x:c r="D6" s="4" t="str">
        <x:v>Benchmark</x:v>
      </x:c>
      <x:c r="E6" s="4" t="str">
        <x:v>Published PEER test counts:
binary 1,746; 10-compartment 2,768.</x:v>
      </x:c>
      <x:c r="F6" s="4" t="str">
        <x:v>Protein sequence; Protein sequence; label descriptions in zero-shot mode</x:v>
      </x:c>
      <x:c r="G6" s="4" t="str">
        <x:v>Binary accuracy: BioT5+ 90.41%; BioT5 91.69%.
10-class accuracy: ProtST-ESM-2 83.39%; ESM-2 80.84%.</x:v>
      </x:c>
      <x:c r="H6" s="4" t="str">
        <x:v>Carried forward from 14 Oct 2026 source-linked workbook; not independently rerun</x:v>
      </x:c>
      <x:c r="I6" s="4" t="str">
        <x:v>Binary comparison uses task-tuned systems. Ten-class numbers use frozen encoders + trained heads. These are distinct endpoints.</x:v>
      </x:c>
    </x:row>
    <x:row r="7" ht="56" customHeight="1">
      <x:c r="A7" s="14" t="str">
        <x:v>Protein properties, interactions and developability</x:v>
      </x:c>
      <x:c r="B7" s="14" t="str">
        <x:v>Envision β-lactamase — PEER split</x:v>
      </x:c>
      <x:c r="C7" s="14" t="str">
        <x:v>Undecided</x:v>
      </x:c>
      <x:c r="D7" s="14" t="str">
        <x:v>Benchmark</x:v>
      </x:c>
      <x:c r="E7" s="14" t="str">
        <x:v>Test: 520 variants.
Train: 4,158; validation: 520.</x:v>
      </x:c>
      <x:c r="F7" s="14" t="str">
        <x:v>Protein/variant sequence</x:v>
      </x:c>
      <x:c r="G7" s="14" t="str">
        <x:v>Spearman: ProtST-ESM-2 0.879; ESM-2 0.867.</x:v>
      </x:c>
      <x:c r="H7" s="14" t="str">
        <x:v>Carried forward from 14 Oct 2026 source-linked workbook; not independently rerun</x:v>
      </x:c>
      <x:c r="I7" s="14" t="str">
        <x:v>Full-model supervised fine-tuning. Assay-specific ranking, not an overall biology score.</x:v>
      </x:c>
    </x:row>
    <x:row r="8" ht="56" customHeight="1">
      <x:c r="A8" s="4" t="str">
        <x:v>Protein properties, interactions and developability</x:v>
      </x:c>
      <x:c r="B8" s="4" t="str">
        <x:v>TAPE GFP / Sarkisyan fluorescence</x:v>
      </x:c>
      <x:c r="C8" s="4" t="str">
        <x:v>Undecided</x:v>
      </x:c>
      <x:c r="D8" s="4" t="str">
        <x:v>Benchmark</x:v>
      </x:c>
      <x:c r="E8" s="4" t="str">
        <x:v>Test: 27,217 variants.
Train: 21,446; validation: 5,362.</x:v>
      </x:c>
      <x:c r="F8" s="4" t="str">
        <x:v>Protein/variant sequence</x:v>
      </x:c>
      <x:c r="G8" s="4" t="str">
        <x:v>Spearman: ProtST-ESM-2 0.682; ESM-2 0.677.</x:v>
      </x:c>
      <x:c r="H8" s="4" t="str">
        <x:v>Carried forward from 14 Oct 2026 source-linked workbook; not independently rerun</x:v>
      </x:c>
      <x:c r="I8" s="4" t="str">
        <x:v>Full-model supervised fine-tuning. Source counts are the TAPE split documented in PEER, not STRIDE's generated batch.</x:v>
      </x:c>
    </x:row>
    <x:row r="9" ht="56" customHeight="1">
      <x:c r="A9" s="14" t="str">
        <x:v>Protein properties, interactions and developability</x:v>
      </x:c>
      <x:c r="B9" s="14" t="str">
        <x:v>TAPE / Rocklin stability</x:v>
      </x:c>
      <x:c r="C9" s="14" t="str">
        <x:v>Undecided</x:v>
      </x:c>
      <x:c r="D9" s="14" t="str">
        <x:v>Benchmark</x:v>
      </x:c>
      <x:c r="E9" s="14" t="str">
        <x:v>Test: 12,851 proteins.
Train: 53,571; validation: 2,512.</x:v>
      </x:c>
      <x:c r="F9" s="14" t="str">
        <x:v>Protein/variant sequence</x:v>
      </x:c>
      <x:c r="G9" s="14" t="str">
        <x:v>Spearman: ProtST-ESM-2 0.738; ESM-2 0.718.</x:v>
      </x:c>
      <x:c r="H9" s="14" t="str">
        <x:v>Carried forward from 14 Oct 2026 source-linked workbook; not independently rerun</x:v>
      </x:c>
      <x:c r="I9" s="14" t="str">
        <x:v>Full-model supervised fine-tuning. Do not conflate with NatureLM's binarized stability task.</x:v>
      </x:c>
    </x:row>
    <x:row r="10" ht="70" customHeight="1">
      <x:c r="A10" s="4" t="str">
        <x:v>Protein properties, interactions and developability</x:v>
      </x:c>
      <x:c r="B10" s="4" t="str">
        <x:v>FLIP — AAV and Meltome</x:v>
      </x:c>
      <x:c r="C10" s="4" t="str">
        <x:v>Undecided</x:v>
      </x:c>
      <x:c r="D10" s="4" t="str">
        <x:v>Benchmark</x:v>
      </x:c>
      <x:c r="E10" s="4" t="str">
        <x:v>ProtST splits: AAV two_vs_many; Meltome human_cell.
Exact test counts not verified in this review.</x:v>
      </x:c>
      <x:c r="F10" s="4" t="str">
        <x:v>Protein/variant sequence</x:v>
      </x:c>
      <x:c r="G10" s="4" t="str">
        <x:v>Spearman, ProtST-ESM-2 vs ESM-2:
AAV 0.825 vs 0.817;
Meltome 0.682 vs 0.672.</x:v>
      </x:c>
      <x:c r="H10" s="4" t="str">
        <x:v>Carried forward from 14 Oct 2026 source-linked workbook; not independently rerun</x:v>
      </x:c>
      <x:c r="I10" s="4" t="str">
        <x:v>Two distinct source datasets, grouped under the FLIP suite. Full-model fine-tuning; no cross-assay average added.</x:v>
      </x:c>
    </x:row>
    <x:row r="11" ht="56" customHeight="1">
      <x:c r="A11" s="14" t="str">
        <x:v>Protein properties, interactions and developability</x:v>
      </x:c>
      <x:c r="B11" s="14" t="str">
        <x:v>Human/Pan and yeast/Guo PPI — PEER</x:v>
      </x:c>
      <x:c r="C11" s="14" t="str">
        <x:v>Undecided</x:v>
      </x:c>
      <x:c r="D11" s="14" t="str">
        <x:v>Benchmark</x:v>
      </x:c>
      <x:c r="E11" s="14" t="str">
        <x:v>Published PEER test counts:
human 227 pairs; yeast 373 pairs.</x:v>
      </x:c>
      <x:c r="F11" s="14" t="str">
        <x:v>Two full protein sequences</x:v>
      </x:c>
      <x:c r="G11" s="14" t="str">
        <x:v>Accuracy, BioT5+ vs BioT5:
human 85.09% vs 86.22%;
yeast 66.16% vs 64.89%.</x:v>
      </x:c>
      <x:c r="H11" s="14" t="str">
        <x:v>Carried forward from 14 Oct 2026 source-linked workbook; not independently rerun</x:v>
      </x:c>
      <x:c r="I11" s="14" t="str">
        <x:v>Separate human/yeast negatives and splits. Generic PPI, not Affibody–pMHC specificity.</x:v>
      </x:c>
    </x:row>
    <x:row r="12" ht="56" customHeight="1">
      <x:c r="A12" s="4" t="str">
        <x:v>Protein properties, interactions and developability</x:v>
      </x:c>
      <x:c r="B12" s="4" t="str">
        <x:v>NatureLM/PEER binarized stability — paper-specific protocol</x:v>
      </x:c>
      <x:c r="C12" s="4" t="str">
        <x:v>Undecided</x:v>
      </x:c>
      <x:c r="D12" s="4" t="str">
        <x:v>Paper-specific holdout</x:v>
      </x:c>
      <x:c r="E12" s="4" t="str">
        <x:v>NatureLM §7.2 uses classification. Exact label-conversion rule not resolved in this review.</x:v>
      </x:c>
      <x:c r="F12" s="4" t="str">
        <x:v>Protein sequence</x:v>
      </x:c>
      <x:c r="G12" s="4" t="str">
        <x:v>NatureLM-8x7B: 72.3% accuracy; SFM-Protein-650M: 58.3%, in NatureLM's stability-classification setup.</x:v>
      </x:c>
      <x:c r="H12" s="4" t="str">
        <x:v>Original 64-setting catalog; published scores carried forward</x:v>
      </x:c>
      <x:c r="I12" s="4" t="str">
        <x:v>Keep separate from TAPE's continuous stability regression. Do not silently change the paper's endpoint.</x:v>
      </x:c>
    </x:row>
    <x:row r="13" ht="70" customHeight="1">
      <x:c r="A13" s="14" t="str">
        <x:v>Protein properties, interactions and developability</x:v>
      </x:c>
      <x:c r="B13" s="14" t="str">
        <x:v>FLAb / FLAb2 antibody property collection</x:v>
      </x:c>
      <x:c r="C13" s="14" t="str">
        <x:v>Undecided</x:v>
      </x:c>
      <x:c r="D13" s="14" t="str">
        <x:v>Benchmark/data collection</x:v>
      </x:c>
      <x:c r="E13" s="14" t="str">
        <x:v>Current repository: 241 datasets; &gt;3 million assay points. Category counts 31/132/7/4/9/33/25 respectively (see details); not one held-out set.</x:v>
      </x:c>
      <x:c r="F13" s="14" t="str">
        <x:v>Antibody sequences; task-dependent measured context</x:v>
      </x:c>
      <x:c r="G13" s="14" t="str">
        <x:v>No version-matched aggregate model score transcribed; repository supplies per-assay zero-/few-shot evaluation outputs.</x:v>
      </x:c>
      <x:c r="H13" s="14" t="str">
        <x:v>New primary-source review</x:v>
      </x:c>
      <x:c r="I13" s="14" t="str">
        <x:v>15 reference datasets are excluded from automated scoring; counts are corpus totals. Each assay has its own units, direction and split.</x:v>
      </x:c>
    </x:row>
    <x:row r="14" ht="42" customHeight="1">
      <x:c r="A14" s="4" t="str">
        <x:v>Protein properties, interactions and developability</x:v>
      </x:c>
      <x:c r="B14" s="4" t="str">
        <x:v>ATOM3D interface contacts (PIP)</x:v>
      </x:c>
      <x:c r="C14" s="4" t="str">
        <x:v>Undecided</x:v>
      </x:c>
      <x:c r="D14" s="4" t="str">
        <x:v>Benchmark</x:v>
      </x:c>
      <x:c r="E14" s="4" t="str">
        <x:v>DIPS training and DB5 testing; exact processed test count not transcribed.</x:v>
      </x:c>
      <x:c r="F14" s="4" t="str">
        <x:v>Unbound protein structures → residue-pair contact</x:v>
      </x:c>
      <x:c r="G14" s="4" t="str">
        <x:v>AUROC: 3D-CNN 0.844; GNN 0.669; non-3D baseline 0.841.</x:v>
      </x:c>
      <x:c r="H14" s="4" t="str">
        <x:v>New primary-source review</x:v>
      </x:c>
      <x:c r="I14" s="4" t="str">
        <x:v>Residue-pair contact prediction is not sequence-pair binary PPI and not binding affinity.</x:v>
      </x:c>
    </x:row>
    <x:row r="15" ht="84" customHeight="1">
      <x:c r="A15" s="14" t="str">
        <x:v>Protein properties, interactions and developability</x:v>
      </x:c>
      <x:c r="B15" s="14" t="str">
        <x:v>PFMBench solubility panel</x:v>
      </x:c>
      <x:c r="C15" s="14" t="str">
        <x:v>Undecided</x:v>
      </x:c>
      <x:c r="D15" s="14" t="str">
        <x:v>Benchmark</x:v>
      </x:c>
      <x:c r="E15" s="14" t="str">
        <x:v>Test sizes: DeepSol: 6,934; DeepSoluE: 1,454; ProtSolM: 7,173; eSOL: 311</x:v>
      </x:c>
      <x:c r="F15" s="14" t="str">
        <x:v>Protein sequences/features; partner/context inputs for interaction tasks</x:v>
      </x:c>
      <x:c r="G15" s="14" t="str">
        <x:v>ESM2-Adapter, Table 1 means: DeepSol AUROC 0.8467; DeepSoluE AUROC 0.7699; ProtSolM AUROC 0.8572; eSOL Spearman 0.2761</x:v>
      </x:c>
      <x:c r="H15" s="14" t="str">
        <x:v>New primary-source review</x:v>
      </x:c>
      <x:c r="I15" s="14" t="str">
        <x:v>These are PFMBench-specific processed datasets/splits, not interchangeable with PEER/ProtST results. F1 is not Fmax. Affinity-named AUROC tasks are classification, not KD regression. Exact loaders required.</x:v>
      </x:c>
    </x:row>
    <x:row r="16" ht="84" customHeight="1">
      <x:c r="A16" s="4" t="str">
        <x:v>Protein properties, interactions and developability</x:v>
      </x:c>
      <x:c r="B16" s="4" t="str">
        <x:v>PFMBench localization and sorting-signal panel</x:v>
      </x:c>
      <x:c r="C16" s="4" t="str">
        <x:v>Undecided</x:v>
      </x:c>
      <x:c r="D16" s="4" t="str">
        <x:v>Benchmark</x:v>
      </x:c>
      <x:c r="E16" s="4" t="str">
        <x:v>Test sizes: DeepLocMulti: 751; DeepLoc2Multi: 2,744; DeepLocBinary: 848; SortingSignal: 186</x:v>
      </x:c>
      <x:c r="F16" s="4" t="str">
        <x:v>Protein sequences/features; partner/context inputs for interaction tasks</x:v>
      </x:c>
      <x:c r="G16" s="4" t="str">
        <x:v>ESM2-Adapter, Table 1 means: DeepLocMulti Accuracy 0.7666; DeepLoc2Multi F1 0.7505; DeepLocBinary AUROC 0.9338; SortingSignal F1 0.8598</x:v>
      </x:c>
      <x:c r="H16" s="4" t="str">
        <x:v>New primary-source review</x:v>
      </x:c>
      <x:c r="I16" s="4" t="str">
        <x:v>These are PFMBench-specific processed datasets/splits, not interchangeable with PEER/ProtST results. F1 is not Fmax. Affinity-named AUROC tasks are classification, not KD regression. Exact loaders required.</x:v>
      </x:c>
    </x:row>
    <x:row r="17" ht="84" customHeight="1">
      <x:c r="A17" s="14" t="str">
        <x:v>Protein properties, interactions and developability</x:v>
      </x:c>
      <x:c r="B17" s="14" t="str">
        <x:v>PFMBench protein and metal-interaction panel</x:v>
      </x:c>
      <x:c r="C17" s="14" t="str">
        <x:v>Undecided</x:v>
      </x:c>
      <x:c r="D17" s="14" t="str">
        <x:v>Benchmark</x:v>
      </x:c>
      <x:c r="E17" s="14" t="str">
        <x:v>Test sizes: Human_PPI: 195; Yeast_PPI: 335; PPI_Affinity: 326; MetalIonBinding: 718</x:v>
      </x:c>
      <x:c r="F17" s="14" t="str">
        <x:v>Protein sequences/features; partner/context inputs for interaction tasks</x:v>
      </x:c>
      <x:c r="G17" s="14" t="str">
        <x:v>ESM2-Adapter, Table 1 means: Human_PPI AUROC 0.4828; Yeast_PPI AUROC 0.5343; PPI_Affinity Spearman -0.0047; MetalIonBinding Accuracy 0.7066</x:v>
      </x:c>
      <x:c r="H17" s="14" t="str">
        <x:v>New primary-source review</x:v>
      </x:c>
      <x:c r="I17" s="14" t="str">
        <x:v>These are PFMBench-specific processed datasets/splits, not interchangeable with PEER/ProtST results. F1 is not Fmax. Affinity-named AUROC tasks are classification, not KD regression. Exact loaders required.</x:v>
      </x:c>
    </x:row>
    <x:row r="18" ht="98" customHeight="1">
      <x:c r="A18" s="4" t="str">
        <x:v>Protein properties, interactions and developability</x:v>
      </x:c>
      <x:c r="B18" s="4" t="str">
        <x:v>PFMBench production and enzyme-operating panel</x:v>
      </x:c>
      <x:c r="C18" s="4" t="str">
        <x:v>Undecided</x:v>
      </x:c>
      <x:c r="D18" s="4" t="str">
        <x:v>Benchmark</x:v>
      </x:c>
      <x:c r="E18" s="4" t="str">
        <x:v>Test sizes: Optimal_pH: 959; DeepET_Topt: 185; Cloning_CLF: 2,778; Material_Production: 2,775; Enzyme_Eff.: 1,290; Antib._Res.: 339; Thermostability: 4,184</x:v>
      </x:c>
      <x:c r="F18" s="4" t="str">
        <x:v>Protein sequences/features; partner/context inputs for interaction tasks</x:v>
      </x:c>
      <x:c r="G18" s="4" t="str">
        <x:v>ESM2-Adapter, Table 1 means: Optimal_pH Spearman 0.0564; DeepET_Topt Spearman 0.2628; Cloning_CLF AUROC 0.8160; Material_Production Accuracy 0.7982; Enzyme_Eff. Spearman 0.2173; Antib._Res. Accuracy 0.6185; Thermostability AUROC 0.9553</x:v>
      </x:c>
      <x:c r="H18" s="4" t="str">
        <x:v>New primary-source review</x:v>
      </x:c>
      <x:c r="I18" s="4" t="str">
        <x:v>These are PFMBench-specific processed datasets/splits, not interchangeable with PEER/ProtST results. F1 is not Fmax. Affinity-named AUROC tasks are classification, not KD regression. Exact loaders required.</x:v>
      </x:c>
    </x:row>
    <x:row r="19" ht="84" customHeight="1">
      <x:c r="A19" s="14" t="str">
        <x:v>Protein function, annotations and descriptions</x:v>
      </x:c>
      <x:c r="B19" s="14" t="str">
        <x:v>DeepFRI-derived EC and GO test splits</x:v>
      </x:c>
      <x:c r="C19" s="14" t="str">
        <x:v>Undecided</x:v>
      </x:c>
      <x:c r="D19" s="14" t="str">
        <x:v>Benchmark</x:v>
      </x:c>
      <x:c r="E19" s="14" t="str">
        <x:v>ProtST's 95%-identity split setting.
Exact processed test counts not recovered here.</x:v>
      </x:c>
      <x:c r="F19" s="14" t="str">
        <x:v>Protein sequence</x:v>
      </x:c>
      <x:c r="G19" s="14" t="str">
        <x:v>Fmax, ProtST-ESM-2 vs ESM-2:
EC 0.878 vs 0.874;
GO-BP 0.482 vs 0.472;
GO-MF 0.668 vs 0.662;
GO-CC 0.487 vs 0.472.</x:v>
      </x:c>
      <x:c r="H19" s="14" t="str">
        <x:v>Carried forward from 14 Oct 2026 source-linked workbook; not independently rerun</x:v>
      </x:c>
      <x:c r="I19" s="14" t="str">
        <x:v>Full-model supervised tuning. Keep ontology branches separate. This is annotation recovery, not verification of every rationale.</x:v>
      </x:c>
    </x:row>
    <x:row r="20" ht="84" customHeight="1">
      <x:c r="A20" s="4" t="str">
        <x:v>Protein function, annotations and descriptions</x:v>
      </x:c>
      <x:c r="B20" s="4" t="str">
        <x:v>Mol-Instructions — four protein-description subsets</x:v>
      </x:c>
      <x:c r="C20" s="4" t="str">
        <x:v>Undecided</x:v>
      </x:c>
      <x:c r="D20" s="4" t="str">
        <x:v>Benchmark</x:v>
      </x:c>
      <x:c r="E20" s="4" t="str">
        <x:v>Original Mol-Instructions paper: approximately 1,000 test examples per task; exact released counts not recomputed.</x:v>
      </x:c>
      <x:c r="F20" s="4" t="str">
        <x:v>Full protein sequence and instruction</x:v>
      </x:c>
      <x:c r="G20" s="4" t="str">
        <x:v>Official Mol-Instructions LLaMA model ROUGE-L:
function 0.43;
general description 0.44;
catalytic activity 0.52;
domain/motif 0.46.</x:v>
      </x:c>
      <x:c r="H20" s="4" t="str">
        <x:v>Carried forward from 14 Oct 2026 source-linked workbook; not independently rerun</x:v>
      </x:c>
      <x:c r="I20" s="4" t="str">
        <x:v>NEW source result: these are Mol-Instructions' own numbers, NOT BioT5+. BioT5+'s Figure 2 reports its comparisons, but exact plotted values were not transcribed.</x:v>
      </x:c>
    </x:row>
    <x:row r="21" ht="70" customHeight="1">
      <x:c r="A21" s="14" t="str">
        <x:v>Protein function, annotations and descriptions</x:v>
      </x:c>
      <x:c r="B21" s="14" t="str">
        <x:v>NatureLM's NCBI protein-description holdout</x:v>
      </x:c>
      <x:c r="C21" s="14" t="str">
        <x:v>Undecided</x:v>
      </x:c>
      <x:c r="D21" s="14" t="str">
        <x:v>Benchmark</x:v>
      </x:c>
      <x:c r="E21" s="14" t="str">
        <x:v>Temporal split; exact test count and frozen processed release not recovered.</x:v>
      </x:c>
      <x:c r="F21" s="14" t="str">
        <x:v>Protein sequence</x:v>
      </x:c>
      <x:c r="G21" s="14" t="str">
        <x:v>ROUGE-L:
NatureLM-8x7B 0.585;
fine-tuned Llama-3-8B 0.324;
GPT-4o 0.091.</x:v>
      </x:c>
      <x:c r="H21" s="14" t="str">
        <x:v>Carried forward from 14 Oct 2026 source-linked workbook; not independently rerun</x:v>
      </x:c>
      <x:c r="I21" s="14" t="str">
        <x:v>This is a paper-specific NCBI-derived set, not all NCBI data. Different task-training regimes; text-overlap evaluation.</x:v>
      </x:c>
    </x:row>
    <x:row r="22" ht="56" customHeight="1">
      <x:c r="A22" s="4" t="str">
        <x:v>Protein function, annotations and descriptions</x:v>
      </x:c>
      <x:c r="B22" s="4" t="str">
        <x:v>BioReason-Pro temporal GO test</x:v>
      </x:c>
      <x:c r="C22" s="4" t="str">
        <x:v>Undecided</x:v>
      </x:c>
      <x:c r="D22" s="4" t="str">
        <x:v>Benchmark</x:v>
      </x:c>
      <x:c r="E22" s="4" t="str">
        <x:v>Released test: 8,630 proteins.</x:v>
      </x:c>
      <x:c r="F22" s="4" t="str">
        <x:v>Protein representations and the context permitted by the released evaluator</x:v>
      </x:c>
      <x:c r="G22" s="4" t="str">
        <x:v>Official repository headline: BioReason-Pro 73.6% Fmax.</x:v>
      </x:c>
      <x:c r="H22" s="4" t="str">
        <x:v>Carried forward from 14 Oct 2026 source-linked workbook; not independently rerun</x:v>
      </x:c>
      <x:c r="I22" s="4" t="str">
        <x:v>Headline aggregation; exact BP/MF/CC definition must come from official evaluator. Not interchangeable with species-held-out evaluation.</x:v>
      </x:c>
    </x:row>
    <x:row r="23" ht="70" customHeight="1">
      <x:c r="A23" s="14" t="str">
        <x:v>Protein function, annotations and descriptions</x:v>
      </x:c>
      <x:c r="B23" s="14" t="str">
        <x:v>ProtST reaction classification — zero/few-shot</x:v>
      </x:c>
      <x:c r="C23" s="14" t="str">
        <x:v>Undecided</x:v>
      </x:c>
      <x:c r="D23" s="14" t="str">
        <x:v>Benchmark</x:v>
      </x:c>
      <x:c r="E23" s="14" t="str">
        <x:v>ProtST zero-shot/few-shot experiment; shots and ensemble settings must be recorded.</x:v>
      </x:c>
      <x:c r="F23" s="14" t="str">
        <x:v>Protein sequence plus reaction-label descriptions</x:v>
      </x:c>
      <x:c r="G23" s="14" t="str">
        <x:v>Zero-/few-shot results are reported, but a numeric value for the exact zero-shot reaction setting is not transcribed here. Do not substitute the fully supervised reaction score.</x:v>
      </x:c>
      <x:c r="H23" s="14" t="str">
        <x:v>Original 64-setting catalog; published scores carried forward</x:v>
      </x:c>
      <x:c r="I23" s="14" t="str">
        <x:v>Zero-shot text-label matching is not the same protocol as fitting a fully supervised classifier.</x:v>
      </x:c>
    </x:row>
    <x:row r="24" ht="70" customHeight="1">
      <x:c r="A24" s="4" t="str">
        <x:v>Protein function, annotations and descriptions</x:v>
      </x:c>
      <x:c r="B24" s="4" t="str">
        <x:v>Bio-posttrain species-held-out protein GO</x:v>
      </x:c>
      <x:c r="C24" s="4" t="str">
        <x:v>Undecided</x:v>
      </x:c>
      <x:c r="D24" s="4" t="str">
        <x:v>Paper-specific holdout</x:v>
      </x:c>
      <x:c r="E24" s="4" t="str">
        <x:v>Two held-out species in the paper; exact species/counts not established in this review. Also discusses inherited temporal protocol.</x:v>
      </x:c>
      <x:c r="F24" s="4" t="str">
        <x:v>Protein inputs and permitted contextual annotations</x:v>
      </x:c>
      <x:c r="G24" s="4" t="str">
        <x:v>Species-held-out GO evaluation is described; a verified numeric result for the exact protein split is not transcribed here.</x:v>
      </x:c>
      <x:c r="H24" s="4" t="str">
        <x:v>Original 64-setting catalog; published scores carried forward</x:v>
      </x:c>
      <x:c r="I24" s="4" t="str">
        <x:v>Do not substitute the original BioReason-Pro 8,630-protein split or its Fmax scorer without documenting the change.</x:v>
      </x:c>
    </x:row>
    <x:row r="25" ht="84" customHeight="1">
      <x:c r="A25" s="14" t="str">
        <x:v>Protein function, annotations and descriptions</x:v>
      </x:c>
      <x:c r="B25" s="14" t="str">
        <x:v>PFMBench GO/EC annotation panel</x:v>
      </x:c>
      <x:c r="C25" s="14" t="str">
        <x:v>Undecided</x:v>
      </x:c>
      <x:c r="D25" s="14" t="str">
        <x:v>Benchmark</x:v>
      </x:c>
      <x:c r="E25" s="14" t="str">
        <x:v>Test sizes: GO-CC: 1,400; GO-MF: 2,787; GO-BP: 2,664; EC: 1,604</x:v>
      </x:c>
      <x:c r="F25" s="14" t="str">
        <x:v>Protein sequences/features; partner/context inputs for interaction tasks</x:v>
      </x:c>
      <x:c r="G25" s="14" t="str">
        <x:v>ESM2-Adapter, Table 1 means: GO-CC F1 0.6130; GO-MF F1 0.6488; GO-BP F1 0.5412; EC F1 0.7379</x:v>
      </x:c>
      <x:c r="H25" s="14" t="str">
        <x:v>New primary-source review</x:v>
      </x:c>
      <x:c r="I25" s="14" t="str">
        <x:v>These are PFMBench-specific processed datasets/splits, not interchangeable with PEER/ProtST results. F1 is not Fmax. Affinity-named AUROC tasks are classification, not KD regression. Exact loaders required.</x:v>
      </x:c>
    </x:row>
    <x:row r="26" ht="70" customHeight="1">
      <x:c r="A26" s="4" t="str">
        <x:v>Mutation-effect interpretation</x:v>
      </x:c>
      <x:c r="B26" s="4" t="str">
        <x:v>MutaDescribe — mutation explanation</x:v>
      </x:c>
      <x:c r="C26" s="4" t="str">
        <x:v>Undecided</x:v>
      </x:c>
      <x:c r="D26" s="4" t="str">
        <x:v>Benchmark</x:v>
      </x:c>
      <x:c r="E26" s="4" t="str">
        <x:v>Main test: Easy 460; Medium 384; Hard 404 mutation examples.
Separate temporal test: 1,611 (not the reported main averages).</x:v>
      </x:c>
      <x:c r="F26" s="4" t="str">
        <x:v>Reference and mutant sequences/change, plus model-specific protein context</x:v>
      </x:c>
      <x:c r="G26" s="4" t="str">
        <x:v>Main-test average ROUGE-L / BLEU-2 (0–100):
MutaPLM 21.34 / 13.61;
GPT-4-0613, 5-shot kNN: 12.31 / 9.69.</x:v>
      </x:c>
      <x:c r="H26" s="4" t="str">
        <x:v>Carried forward from 14 Oct 2026 source-linked workbook; not independently rerun</x:v>
      </x:c>
      <x:c r="I26" s="4" t="str">
        <x:v>The reported 'Average' is retained as the paper defines it. Similarity tiers are not a globally homology-disjoint split.</x:v>
      </x:c>
    </x:row>
    <x:row r="27" ht="84" customHeight="1">
      <x:c r="A27" s="14" t="str">
        <x:v>Mutation ranking, affinity and local optimization</x:v>
      </x:c>
      <x:c r="B27" s="14" t="str">
        <x:v>ProteinGym substitutions — historical ProtST evaluation</x:v>
      </x:c>
      <x:c r="C27" s="14" t="str">
        <x:v>Undecided</x:v>
      </x:c>
      <x:c r="D27" s="14" t="str">
        <x:v>Benchmark</x:v>
      </x:c>
      <x:c r="E27" s="14" t="str">
        <x:v>Use the historical ProteinGym snapshot in ProtST.
Do not attach the modern 217-assay count to these old results.</x:v>
      </x:c>
      <x:c r="F27" s="14" t="str">
        <x:v>Reference and variant sequences; optional structure/MSA only if the protocol allows</x:v>
      </x:c>
      <x:c r="G27" s="14" t="str">
        <x:v>UniProt-level mean Spearman:
ProtST-ESM-1b 0.412;
ESM-1b 0.358;
ESM-1v 0.372;
Tranception L without retrieval 0.401.</x:v>
      </x:c>
      <x:c r="H27" s="14" t="str">
        <x:v>Carried forward from 14 Oct 2026 source-linked workbook; not independently rerun</x:v>
      </x:c>
      <x:c r="I27" s="14" t="str">
        <x:v>NEW verified numeric row from ProtST Table 12. Not a current ProteinGym leaderboard result.</x:v>
      </x:c>
    </x:row>
    <x:row r="28" ht="56" customHeight="1">
      <x:c r="A28" s="4" t="str">
        <x:v>Mutation ranking, affinity and local optimization</x:v>
      </x:c>
      <x:c r="B28" s="4" t="str">
        <x:v>PG-LLM / ProteinGym-LLM — eval-data-v1.2</x:v>
      </x:c>
      <x:c r="C28" s="4" t="str">
        <x:v>Undecided</x:v>
      </x:c>
      <x:c r="D28" s="4" t="str">
        <x:v>Benchmark</x:v>
      </x:c>
      <x:c r="E28" s="4" t="str">
        <x:v>217 assays; sets of 10, 50 or 100 variants; three seeds.</x:v>
      </x:c>
      <x:c r="F28" s="4" t="str">
        <x:v>Full reference sequence, assay description, shuffled candidate sequences</x:v>
      </x:c>
      <x:c r="G28" s="4" t="str">
        <x:v>No verified release-matched model score was recovered. This does not mean zero performance.</x:v>
      </x:c>
      <x:c r="H28" s="4" t="str">
        <x:v>Carried forward from 14 Oct 2026 source-linked workbook; not independently rerun</x:v>
      </x:c>
      <x:c r="I28" s="4" t="str">
        <x:v>Evaluation-only frozen protocol. Benchmark-specific training, tuning and retrieval augmentation are restricted by its documentation.</x:v>
      </x:c>
    </x:row>
    <x:row r="29" ht="126" customHeight="1">
      <x:c r="A29" s="14" t="str">
        <x:v>Mutation ranking, affinity and local optimization</x:v>
      </x:c>
      <x:c r="B29" s="14" t="str">
        <x:v>PFArena — four task settings</x:v>
      </x:c>
      <x:c r="C29" s="14" t="str">
        <x:v>Undecided</x:v>
      </x:c>
      <x:c r="D29" s="14" t="str">
        <x:v>Benchmark</x:v>
      </x:c>
      <x:c r="E29" s="14" t="str">
        <x:v>T1: 123 assays / 594,695 measured singles.
T2: 74 assays / 6,288 candidates.
T3: 67 assays / 3,648 candidates.
T4: 29 assays / 2,638 candidates.</x:v>
      </x:c>
      <x:c r="F29" s="14" t="str">
        <x:v>Reference protein + objective; no target-specific mutant measurements; Reference + objective + candidate combinations; no target-specific measured labels; A measured anchor mutant + strictly extending candidate combinations; Component single-mutant measurements + candidate multi-mutants</x:v>
      </x:c>
      <x:c r="G29" s="14" t="str">
        <x:v>Paper's GPT-6 Astra vs ESM-2:
T1 Recall@40 0.0254 vs 0.0370;
T2 Spearman 0.2726 vs 0.2539;
T3 0.3516 vs 0.3128;
T4 0.5988 vs 0.3153.</x:v>
      </x:c>
      <x:c r="H29" s="14" t="str">
        <x:v>Carried forward from 14 Oct 2026 source-linked workbook; not independently rerun</x:v>
      </x:c>
      <x:c r="I29" s="14" t="str">
        <x:v>Different assay subsets, not a paired context ablation. Reported aggregates include deterministic random fallback on missing outputs (§10.1/Table 12). Model labels are the paper's, not verified API IDs. Exact public bundle not yet established; retained paper model labels are not executable API identifiers.</x:v>
      </x:c>
    </x:row>
    <x:row r="30" ht="56" customHeight="1">
      <x:c r="A30" s="4" t="str">
        <x:v>Mutation ranking, affinity and local optimization</x:v>
      </x:c>
      <x:c r="B30" s="4" t="str">
        <x:v>MutaDescribe — mutation engineering</x:v>
      </x:c>
      <x:c r="C30" s="4" t="str">
        <x:v>Undecided</x:v>
      </x:c>
      <x:c r="D30" s="4" t="str">
        <x:v>Benchmark</x:v>
      </x:c>
      <x:c r="E30" s="4" t="str">
        <x:v>Same main Easy/Medium/Hard split as explanation: 460 / 384 / 404 examples.</x:v>
      </x:c>
      <x:c r="F30" s="4" t="str">
        <x:v>Protein, desired effect, correct mutation position; Protein and desired effect</x:v>
      </x:c>
      <x:c r="G30" s="4" t="str">
        <x:v>MutaPLM vs fine-tuned ESM-2:
position known accuracy 53.51% vs 51.43%;
position unknown Recall@50 40.94% vs 33.77%.</x:v>
      </x:c>
      <x:c r="H30" s="4" t="str">
        <x:v>Carried forward from 14 Oct 2026 source-linked workbook; not independently rerun</x:v>
      </x:c>
      <x:c r="I30" s="4" t="str">
        <x:v>Same source dataset, different task. These are reference-recovery rates, not prospective wet-lab success.</x:v>
      </x:c>
    </x:row>
    <x:row r="31" ht="70" customHeight="1">
      <x:c r="A31" s="14" t="str">
        <x:v>Mutation ranking, affinity and local optimization</x:v>
      </x:c>
      <x:c r="B31" s="14" t="str">
        <x:v>MutaPLM low-data fitness regression</x:v>
      </x:c>
      <x:c r="C31" s="14" t="str">
        <x:v>Undecided</x:v>
      </x:c>
      <x:c r="D31" s="14" t="str">
        <x:v>Benchmark</x:v>
      </x:c>
      <x:c r="E31" s="14" t="str">
        <x:v>192 training + 48 validation examples; five seeds; assay-specific remaining test records</x:v>
      </x:c>
      <x:c r="F31" s="14" t="str">
        <x:v>Variant representations; a separately fitted regression head</x:v>
      </x:c>
      <x:c r="G31" s="14" t="str">
        <x:v>Low-data regression curves are reported with 192 train / 48 validation examples; no exact assay-specific point estimate is transcribed here.</x:v>
      </x:c>
      <x:c r="H31" s="14" t="str">
        <x:v>Original 64-setting catalog; published scores carried forward</x:v>
      </x:c>
      <x:c r="I31" s="14" t="str">
        <x:v>This is supervised low-N prediction, not zero-shot generation. Do not reuse the labeled seed points as test examples.</x:v>
      </x:c>
    </x:row>
    <x:row r="32" ht="84" customHeight="1">
      <x:c r="A32" s="4" t="str">
        <x:v>Mutation ranking, affinity and local optimization</x:v>
      </x:c>
      <x:c r="B32" s="4" t="str">
        <x:v>AbBiBench antibody affinity ranking</x:v>
      </x:c>
      <x:c r="C32" s="4" t="str">
        <x:v>Undecided</x:v>
      </x:c>
      <x:c r="D32" s="4" t="str">
        <x:v>Benchmark</x:v>
      </x:c>
      <x:c r="E32" s="4" t="str">
        <x:v>Paper: 155,853 heavy-chain variants, 9 antigens (Section 3.1 lists 11 datasets). Current repository leaderboard: 16 assay columns; expanded payload count not established.</x:v>
      </x:c>
      <x:c r="F32" s="4" t="str">
        <x:v>Antibody/target sequences and permitted structural context; varies by model</x:v>
      </x:c>
      <x:c r="G32" s="4" t="str">
        <x:v>Current 16-column leaderboard mean Spearman: ProteinMPNN 0.30; ESM-IF1 0.28; AntiFold 0.21; ESM2 0.02.</x:v>
      </x:c>
      <x:c r="H32" s="4" t="str">
        <x:v>New primary-source review</x:v>
      </x:c>
      <x:c r="I32" s="4" t="str">
        <x:v>Paper size and current leaderboard refer to different snapshots. Do not combine them into a single size-matched result. Generative case study is separate.</x:v>
      </x:c>
    </x:row>
    <x:row r="33" ht="56" customHeight="1">
      <x:c r="A33" s="14" t="str">
        <x:v>Mutation ranking, affinity and local optimization</x:v>
      </x:c>
      <x:c r="B33" s="14" t="str">
        <x:v>ATOM3D SKEMPI-derived mutation affinity (MSP)</x:v>
      </x:c>
      <x:c r="C33" s="14" t="str">
        <x:v>Undecided</x:v>
      </x:c>
      <x:c r="D33" s="14" t="str">
        <x:v>Benchmark</x:v>
      </x:c>
      <x:c r="E33" s="14" t="str">
        <x:v>Source construction: 893 positive and 3,255 negative mutations; exact test size not recovered.</x:v>
      </x:c>
      <x:c r="F33" s="14" t="str">
        <x:v>Wild-type/mutant structural context</x:v>
      </x:c>
      <x:c r="G33" s="14" t="str">
        <x:v>AUROC: GNN 0.621; 3D-CNN 0.574.</x:v>
      </x:c>
      <x:c r="H33" s="14" t="str">
        <x:v>New primary-source review</x:v>
      </x:c>
      <x:c r="I33" s="14" t="str">
        <x:v>This is binding-affinity change classification, not folding-stability prediction. Source counts are not test counts.</x:v>
      </x:c>
    </x:row>
    <x:row r="34" ht="98" customHeight="1">
      <x:c r="A34" s="4" t="str">
        <x:v>Mutation ranking, affinity and local optimization</x:v>
      </x:c>
      <x:c r="B34" s="4" t="str">
        <x:v>PFMBench mutation/fitness panel</x:v>
      </x:c>
      <x:c r="C34" s="4" t="str">
        <x:v>Undecided</x:v>
      </x:c>
      <x:c r="D34" s="4" t="str">
        <x:v>Benchmark</x:v>
      </x:c>
      <x:c r="E34" s="4" t="str">
        <x:v>Test sizes: PETA_CHS_SOL: 484; PETA_LGK_SOL: 1,914; PETA_TEM_SOL: 808; FLIP_AAV: 16,517; FLIP_GB1: 1,745; TAPE_Stab: 6,898; TAPE_Fluor: 27,217; BetaLactamase: 520</x:v>
      </x:c>
      <x:c r="F34" s="4" t="str">
        <x:v>Protein sequences/features; partner/context inputs for interaction tasks</x:v>
      </x:c>
      <x:c r="G34" s="4" t="str">
        <x:v>ESM2-Adapter, Table 1 means: PETA_CHS_SOL Spearman 0.2738; PETA_LGK_SOL Spearman 0.1558; PETA_TEM_SOL Spearman 0.1433; FLIP_AAV Spearman 0.9412; FLIP_GB1 Spearman 0.9517; TAPE_Stab Spearman 0.3211; TAPE_Fluor Spearman 0.6812; BetaLactamase Spearman 0.5740</x:v>
      </x:c>
      <x:c r="H34" s="4" t="str">
        <x:v>New primary-source review</x:v>
      </x:c>
      <x:c r="I34" s="4" t="str">
        <x:v>These are PFMBench-specific processed datasets/splits, not interchangeable with PEER/ProtST results. F1 is not Fmax. Affinity-named AUROC tasks are classification, not KD regression. Exact loaders required.</x:v>
      </x:c>
    </x:row>
    <x:row r="35" ht="84" customHeight="1">
      <x:c r="A35" s="14" t="str">
        <x:v>Mutation ranking, affinity and local optimization</x:v>
      </x:c>
      <x:c r="B35" s="14" t="str">
        <x:v>PFMBench peptide–MHC and TCR–pMHC panel</x:v>
      </x:c>
      <x:c r="C35" s="14" t="str">
        <x:v>Undecided</x:v>
      </x:c>
      <x:c r="D35" s="14" t="str">
        <x:v>Benchmark</x:v>
      </x:c>
      <x:c r="E35" s="14" t="str">
        <x:v>Test sizes: Pept.HLA/MHC Aff.: 8,406; TCR.PMHC Aff.: 2,482</x:v>
      </x:c>
      <x:c r="F35" s="14" t="str">
        <x:v>Protein sequences/features; partner/context inputs for interaction tasks</x:v>
      </x:c>
      <x:c r="G35" s="14" t="str">
        <x:v>ESM2-Adapter, Table 1 means: Pept.HLA/MHC Aff. AUROC 0.9631; TCR.PMHC Aff. AUROC 0.9312</x:v>
      </x:c>
      <x:c r="H35" s="14" t="str">
        <x:v>New primary-source review</x:v>
      </x:c>
      <x:c r="I35" s="14" t="str">
        <x:v>These are PFMBench-specific processed datasets/splits, not interchangeable with PEER/ProtST results. F1 is not Fmax. Affinity-named AUROC tasks are classification, not KD regression. Exact loaders required.</x:v>
      </x:c>
    </x:row>
    <x:row r="36" ht="84" customHeight="1">
      <x:c r="A36" s="4" t="str">
        <x:v>Mutation ranking, affinity and local optimization</x:v>
      </x:c>
      <x:c r="B36" s="4" t="str">
        <x:v>PFMBench ProteinGym zero-shot protocol</x:v>
      </x:c>
      <x:c r="C36" s="4" t="str">
        <x:v>Undecided</x:v>
      </x:c>
      <x:c r="D36" s="4" t="str">
        <x:v>Benchmark</x:v>
      </x:c>
      <x:c r="E36" s="4" t="str">
        <x:v>Paper table does not specify the release-matched evaluation denominator.</x:v>
      </x:c>
      <x:c r="F36" s="4" t="str">
        <x:v>Protein sequences/features; partner/context inputs for interaction tasks</x:v>
      </x:c>
      <x:c r="G36" s="4" t="str">
        <x:v>Table 1 reports pretrained ESM2 ProteinGym Spearman 0.4390; do not compare directly to a different snapshot's score.</x:v>
      </x:c>
      <x:c r="H36" s="4" t="str">
        <x:v>New primary-source review</x:v>
      </x:c>
      <x:c r="I36" s="4" t="str">
        <x:v>These are PFMBench-specific processed datasets/splits, not interchangeable with PEER/ProtST results. F1 is not Fmax. Affinity-named AUROC tasks are classification, not KD regression. Exact loaders required.</x:v>
      </x:c>
    </x:row>
    <x:row r="37" ht="168" customHeight="1">
      <x:c r="A37" s="14" t="str">
        <x:v>Scientific evidence and biological knowledge</x:v>
      </x:c>
      <x:c r="B37" s="14" t="str">
        <x:v>LAB-Bench — research tasks</x:v>
      </x:c>
      <x:c r="C37" s="14" t="str">
        <x:v>Undecided</x:v>
      </x:c>
      <x:c r="D37" s="14" t="str">
        <x:v>Benchmark</x:v>
      </x:c>
      <x:c r="E37" s="14" t="str">
        <x:v>Original full evaluation: 2,457 questions.
LitQA2 248; SuppQA 102; FigQA 226; TableQA 305; DbQA 650; ProtocolQA 135; SeqQA 750; Cloning 41.</x:v>
      </x:c>
      <x:c r="F37" s="14" t="str">
        <x:v>Literature question; access to papers depends on evaluation protocol; Database-oriented question; resource access must be stated; Question about supplementary information; supplied/retrieved documents if allowed; Figure and associated question; Table and question; A procedure-related scenario and question; Sequence plus a transformation/analysis question; Scenario and sequence/context information</x:v>
      </x:c>
      <x:c r="G37" s="14" t="str">
        <x:v>Historical 2024 GPT-4o accuracy:
LitQA2 27%; SuppQA 13%; FigQA 29%; TableQA 71%; ProtocolQA 53%; Cloning 28%.
DbQA variant-from-sequence 42%; SeqQA GC% 29%, ORF-sequence 50% (SUBTASK values only).</x:v>
      </x:c>
      <x:c r="H37" s="14" t="str">
        <x:v>Carried forward from 14 Oct 2026 source-linked workbook; not independently rerun</x:v>
      </x:c>
      <x:c r="I37" s="14" t="str">
        <x:v>Original full public+private test; not the public 1,967-question subset. Three-run means. Tool-free models; TableQA and FigQA are images. No new category aggregate invented.</x:v>
      </x:c>
    </x:row>
    <x:row r="38" ht="42" customHeight="1">
      <x:c r="A38" s="4" t="str">
        <x:v>Scientific evidence and biological knowledge</x:v>
      </x:c>
      <x:c r="B38" s="4" t="str">
        <x:v>ProteinLMBench protein-understanding questions</x:v>
      </x:c>
      <x:c r="C38" s="4" t="str">
        <x:v>Undecided</x:v>
      </x:c>
      <x:c r="D38" s="4" t="str">
        <x:v>Benchmark</x:v>
      </x:c>
      <x:c r="E38" s="4" t="str">
        <x:v>944 manually verified questions; six choices per question.</x:v>
      </x:c>
      <x:c r="F38" s="4" t="str">
        <x:v>Text question + choices</x:v>
      </x:c>
      <x:c r="G38" s="4" t="str">
        <x:v>InternLM2-7B after SFT: 58.26% accuracy; SSL+SFT: 62.18%.</x:v>
      </x:c>
      <x:c r="H38" s="4" t="str">
        <x:v>New primary-source review</x:v>
      </x:c>
      <x:c r="I38" s="4" t="str">
        <x:v>Knowledge/test-taking evaluation, not direct novel protein-function prediction.</x:v>
      </x:c>
    </x:row>
    <x:row r="39" ht="70" customHeight="1">
      <x:c r="A39" s="14" t="str">
        <x:v>Scientific evidence and biological knowledge</x:v>
      </x:c>
      <x:c r="B39" s="14" t="str">
        <x:v>PubMedQA research-abstract questions</x:v>
      </x:c>
      <x:c r="C39" s="14" t="str">
        <x:v>Undecided</x:v>
      </x:c>
      <x:c r="D39" s="14" t="str">
        <x:v>Benchmark</x:v>
      </x:c>
      <x:c r="E39" s="14" t="str">
        <x:v>1,000 expert-labeled records total; official evaluation split must be pinned. 61.2K unlabeled and 211.3K artificial records are separate training resources.</x:v>
      </x:c>
      <x:c r="F39" s="14" t="str">
        <x:v>Question + source abstract</x:v>
      </x:c>
      <x:c r="G39" s="14" t="str">
        <x:v>Original BioBERT multi-phase training: 68.1% accuracy; reported human baseline 78.0%. Historical results.</x:v>
      </x:c>
      <x:c r="H39" s="14" t="str">
        <x:v>New primary-source review</x:v>
      </x:c>
      <x:c r="I39" s="14" t="str">
        <x:v>The conclusion/long answer must stay out of solver input under the reasoning-required protocol.</x:v>
      </x:c>
    </x:row>
    <x:row r="40" ht="84" customHeight="1">
      <x:c r="A40" s="4" t="str">
        <x:v>Protein design</x:v>
      </x:c>
      <x:c r="B40" s="4" t="str">
        <x:v>RAbD — CDR-H3 redesign</x:v>
      </x:c>
      <x:c r="C40" s="4" t="str">
        <x:v>Undecided</x:v>
      </x:c>
      <x:c r="D40" s="4" t="str">
        <x:v>Benchmark</x:v>
      </x:c>
      <x:c r="E40" s="4" t="str">
        <x:v>60 antibody–antigen complexes.</x:v>
      </x:c>
      <x:c r="F40" s="4" t="str">
        <x:v>Antigen, antibody framework, fixed complex context; H3 masked</x:v>
      </x:c>
      <x:c r="G40" s="4" t="str">
        <x:v>Proteo-R1 vs BoltzGen:
AAR 10.75% vs 39.07%;
RMSD 2.46 Å vs 2.69 Å;
DockQ 0.801 vs 0.473.</x:v>
      </x:c>
      <x:c r="H40" s="4" t="str">
        <x:v>Carried forward from 14 Oct 2026 source-linked workbook; not independently rerun</x:v>
      </x:c>
      <x:c r="I40" s="4" t="str">
        <x:v>Geometry and native-sequence recovery disagree; no dominance claim across all metrics. Not prospective binding success. ProteinBench's 55-complex processed version is separately listed.</x:v>
      </x:c>
    </x:row>
    <x:row r="41" ht="70" customHeight="1">
      <x:c r="A41" s="14" t="str">
        <x:v>Protein design</x:v>
      </x:c>
      <x:c r="B41" s="14" t="str">
        <x:v>SAbDab — Proteo-R1 all-CDR holdout</x:v>
      </x:c>
      <x:c r="C41" s="14" t="str">
        <x:v>Undecided</x:v>
      </x:c>
      <x:c r="D41" s="14" t="str">
        <x:v>Paper-specific holdout</x:v>
      </x:c>
      <x:c r="E41" s="14" t="str">
        <x:v>Paper-specific temporal/cluster split; exact processed test count not recovered.</x:v>
      </x:c>
      <x:c r="F41" s="14" t="str">
        <x:v>Antigen/framework/docking context with CDR sequence/geometry masked</x:v>
      </x:c>
      <x:c r="G41" s="14" t="str">
        <x:v>Proteo-R1 vs MFDesign:
H3 RMSD 3.81 Å vs 3.71 Å;
Loop-RMSD 4.51 Å vs 4.28 Å;
IMP 56.58 vs 59.16 (paper's scale).</x:v>
      </x:c>
      <x:c r="H41" s="14" t="str">
        <x:v>Carried forward from 14 Oct 2026 source-linked workbook; not independently rerun</x:v>
      </x:c>
      <x:c r="I41" s="14" t="str">
        <x:v>One dataset, multiple metrics. H3 RMSD and Loop-RMSD are different columns. Oracle-Anchor row is not the deployed system.</x:v>
      </x:c>
    </x:row>
    <x:row r="42" ht="70" customHeight="1">
      <x:c r="A42" s="4" t="str">
        <x:v>Protein design</x:v>
      </x:c>
      <x:c r="B42" s="4" t="str">
        <x:v>CATH 4.2 / TS50 / TS500 inverse folding</x:v>
      </x:c>
      <x:c r="C42" s="4" t="str">
        <x:v>Undecided</x:v>
      </x:c>
      <x:c r="D42" s="4" t="str">
        <x:v>Benchmark</x:v>
      </x:c>
      <x:c r="E42" s="4" t="str">
        <x:v>CATH 4.2 exact test count not re-established; TS50/TS500 named test suites (50/500 nominal structures; exact retained manifests must be checked).</x:v>
      </x:c>
      <x:c r="F42" s="4" t="str">
        <x:v>Backbone coordinates → sequence</x:v>
      </x:c>
      <x:c r="G42" s="4" t="str">
        <x:v>PiFold repository: CATH recovery 51.66%; TS50 58.72%; TS500 60.42%.</x:v>
      </x:c>
      <x:c r="H42" s="4" t="str">
        <x:v>New primary-source review</x:v>
      </x:c>
      <x:c r="I42" s="4" t="str">
        <x:v>Recovery is not experimental fold/function validation; named size does not replace retained-record manifest.</x:v>
      </x:c>
    </x:row>
    <x:row r="43" ht="56" customHeight="1">
      <x:c r="A43" s="14" t="str">
        <x:v>Protein design</x:v>
      </x:c>
      <x:c r="B43" s="14" t="str">
        <x:v>ProteinBench inverse folding — CASP15 / CAMEO / synthetic backbones</x:v>
      </x:c>
      <x:c r="C43" s="14" t="str">
        <x:v>Undecided</x:v>
      </x:c>
      <x:c r="D43" s="14" t="str">
        <x:v>Benchmark</x:v>
      </x:c>
      <x:c r="E43" s="14" t="str">
        <x:v>32 CASP15 structures; 332 CAMEO complexes; synthetic backbones: 10 at each of 5 lengths (100–500 aa).</x:v>
      </x:c>
      <x:c r="F43" s="14" t="str">
        <x:v>Coordinates → sequence</x:v>
      </x:c>
      <x:c r="G43" s="14" t="str">
        <x:v>AAR, CASP15/CAMEO: LM-Design 0.516/0.570; ProteinMPNN 0.450/0.468.</x:v>
      </x:c>
      <x:c r="H43" s="14" t="str">
        <x:v>New primary-source review</x:v>
      </x:c>
      <x:c r="I43" s="14" t="str">
        <x:v>Some models are excluded from native recovery because of training exposure. Synthetic consistency is model-scored, not wet-lab.</x:v>
      </x:c>
    </x:row>
    <x:row r="44" ht="70" customHeight="1">
      <x:c r="A44" s="4" t="str">
        <x:v>Protein design</x:v>
      </x:c>
      <x:c r="B44" s="4" t="str">
        <x:v>ProteinBench unconditional backbone generation</x:v>
      </x:c>
      <x:c r="C44" s="4" t="str">
        <x:v>Undecided</x:v>
      </x:c>
      <x:c r="D44" s="4" t="str">
        <x:v>Benchmark</x:v>
      </x:c>
      <x:c r="E44" s="4" t="str">
        <x:v>Length-stratified generation at 100/200/300/400/500 aa; 100 single-chain reference structures. Exact generated count must follow the release.</x:v>
      </x:c>
      <x:c r="F44" s="4" t="str">
        <x:v>Length/optional constraints → coordinates</x:v>
      </x:c>
      <x:c r="G44" s="4" t="str">
        <x:v>At length 100: RFdiffusion scTM 0.98 ± 0.12 and scRMSD 0.48 ± 0.56 Å; FrameFlow 0.94 ± 0.08 and 0.70 ± 0.70 Å.</x:v>
      </x:c>
      <x:c r="H44" s="4" t="str">
        <x:v>New primary-source review</x:v>
      </x:c>
      <x:c r="I44" s="4" t="str">
        <x:v>Reported values retained on the paper's scale; structural plausibility does not establish function.</x:v>
      </x:c>
    </x:row>
    <x:row r="45" ht="42" customHeight="1">
      <x:c r="A45" s="14" t="str">
        <x:v>Protein design</x:v>
      </x:c>
      <x:c r="B45" s="14" t="str">
        <x:v>ProteinBench unconditional sequence generation</x:v>
      </x:c>
      <x:c r="C45" s="14" t="str">
        <x:v>Undecided</x:v>
      </x:c>
      <x:c r="D45" s="14" t="str">
        <x:v>Benchmark</x:v>
      </x:c>
      <x:c r="E45" s="14" t="str">
        <x:v>50 sequences per model at each length 100, 200, 300 and 500.</x:v>
      </x:c>
      <x:c r="F45" s="14" t="str">
        <x:v>Text/sequence generation with external structural scoring</x:v>
      </x:c>
      <x:c r="G45" s="14" t="str">
        <x:v>At length 100, predicted AF2 pLDDT: DPLM-650M 85.38 ± 14.20; ProGen2-700M 64.00 ± 21.26.</x:v>
      </x:c>
      <x:c r="H45" s="14" t="str">
        <x:v>New primary-source review</x:v>
      </x:c>
      <x:c r="I45" s="14" t="str">
        <x:v>pLDDT is confidence, not experimentally measured protein stability or function.</x:v>
      </x:c>
    </x:row>
    <x:row r="46" ht="56" customHeight="1">
      <x:c r="A46" s="4" t="str">
        <x:v>Protein design</x:v>
      </x:c>
      <x:c r="B46" s="4" t="str">
        <x:v>ProteinBench joint sequence–structure generation</x:v>
      </x:c>
      <x:c r="C46" s="4" t="str">
        <x:v>Undecided</x:v>
      </x:c>
      <x:c r="D46" s="4" t="str">
        <x:v>Benchmark</x:v>
      </x:c>
      <x:c r="E46" s="4" t="str">
        <x:v>Length-stratified generated samples; exact per-setting candidate count not recovered.</x:v>
      </x:c>
      <x:c r="F46" s="4" t="str">
        <x:v>Length/constraints → sequence + coordinates</x:v>
      </x:c>
      <x:c r="G46" s="4" t="str">
        <x:v>Multiflow at length 100: scTM 0.96 ± 0.04; scRMSD 1.10 ± 0.71 Å. At length 200: scTM 0.95; scRMSD 1.61 Å.</x:v>
      </x:c>
      <x:c r="H46" s="4" t="str">
        <x:v>New primary-source review</x:v>
      </x:c>
      <x:c r="I46" s="4" t="str">
        <x:v>These are selected length-specific results, not one design success rate.</x:v>
      </x:c>
    </x:row>
    <x:row r="47" ht="56" customHeight="1">
      <x:c r="A47" s="14" t="str">
        <x:v>Protein design</x:v>
      </x:c>
      <x:c r="B47" s="14" t="str">
        <x:v>MotifBench functional-motif scaffolding</x:v>
      </x:c>
      <x:c r="C47" s="14" t="str">
        <x:v>Undecided</x:v>
      </x:c>
      <x:c r="D47" s="14" t="str">
        <x:v>Benchmark</x:v>
      </x:c>
      <x:c r="E47" s="14" t="str">
        <x:v>30 motif problems; standard submission 100 scaffolds per problem.</x:v>
      </x:c>
      <x:c r="F47" s="14" t="str">
        <x:v>Motif coordinates + constraints → backbone; sequence design/scoring pipeline</x:v>
      </x:c>
      <x:c r="G47" s="14" t="str">
        <x:v>Official leaderboard snapshot: RFdiffusion3 43.52 ± 1.35 (Aug 2026); RFdiffusion 21.95 (Feb 2025), in MotifBench-score units.</x:v>
      </x:c>
      <x:c r="H47" s="14" t="str">
        <x:v>New primary-source review</x:v>
      </x:c>
      <x:c r="I47" s="14" t="str">
        <x:v>Score is not percentage of experimentally functional proteins. Preserve sampling and evaluator versions.</x:v>
      </x:c>
    </x:row>
    <x:row r="48" ht="56" customHeight="1">
      <x:c r="A48" s="4" t="str">
        <x:v>Protein design</x:v>
      </x:c>
      <x:c r="B48" s="4" t="str">
        <x:v>ProteinBench motif scaffolding — legacy motif panel</x:v>
      </x:c>
      <x:c r="C48" s="4" t="str">
        <x:v>Undecided</x:v>
      </x:c>
      <x:c r="D48" s="4" t="str">
        <x:v>Benchmark</x:v>
      </x:c>
      <x:c r="E48" s="4" t="str">
        <x:v>Legacy 17 (25) motif-problem panel described by ProteinBench; not MotifBench's separate 30-problem set.</x:v>
      </x:c>
      <x:c r="F48" s="4" t="str">
        <x:v>Motif structure → scaffold</x:v>
      </x:c>
      <x:c r="G48" s="4" t="str">
        <x:v>Comparative motif-scaffolding results are reported; exact figure-derived score not transcribed.</x:v>
      </x:c>
      <x:c r="H48" s="4" t="str">
        <x:v>New primary-source review</x:v>
      </x:c>
      <x:c r="I48" s="4" t="str">
        <x:v>Do not merge the legacy panel with MotifBench or reuse their scores interchangeably.</x:v>
      </x:c>
    </x:row>
    <x:row r="49" ht="56" customHeight="1">
      <x:c r="A49" s="14" t="str">
        <x:v>Protein design</x:v>
      </x:c>
      <x:c r="B49" s="14" t="str">
        <x:v>ProteinBench antibody design — processed RAbD</x:v>
      </x:c>
      <x:c r="C49" s="14" t="str">
        <x:v>Undecided</x:v>
      </x:c>
      <x:c r="D49" s="14" t="str">
        <x:v>Benchmark</x:v>
      </x:c>
      <x:c r="E49" s="14" t="str">
        <x:v>55 retained RAbD complexes; differs from the 60-complex protocol in the earlier catalog.</x:v>
      </x:c>
      <x:c r="F49" s="14" t="str">
        <x:v>Complex structure + masked H3 → sequence/structure</x:v>
      </x:c>
      <x:c r="G49" s="14" t="str">
        <x:v>DiffAb: AAR 35.04 ± 8.36%, RMSD 2.53 ± 0.60 Å; MEAN: AAR 33.47%, RMSD 1.82 Å.</x:v>
      </x:c>
      <x:c r="H49" s="14" t="str">
        <x:v>New primary-source review</x:v>
      </x:c>
      <x:c r="I49" s="14" t="str">
        <x:v>Same parent resource does not mean identical split or scorer. This is a distinct protocol, not 55 additional independent complexes.</x:v>
      </x:c>
    </x:row>
    <x:row r="50" ht="70" customHeight="1">
      <x:c r="A50" s="4" t="str">
        <x:v>Protein design</x:v>
      </x:c>
      <x:c r="B50" s="4" t="str">
        <x:v>CHIMERA-Bench epitope-conditioned antibody design</x:v>
      </x:c>
      <x:c r="C50" s="4" t="str">
        <x:v>Undecided</x:v>
      </x:c>
      <x:c r="D50" s="4" t="str">
        <x:v>Benchmark</x:v>
      </x:c>
      <x:c r="E50" s="4" t="str">
        <x:v>2,922 complexes total. Test: 292 epitope-group; 292 antigen-fold; 293 temporal. Splits are alternatives, not additive test sets.</x:v>
      </x:c>
      <x:c r="F50" s="4" t="str">
        <x:v>Antigen/framework/epitope context → CDR sequence+structure</x:v>
      </x:c>
      <x:c r="G50" s="4" t="str">
        <x:v>Epitope-group H3: RAAD AAR 0.37, RMSD 1.75 Å, DockQ 0.58; dyMEAN EpiF1 0.23 (RAAD 0.11).</x:v>
      </x:c>
      <x:c r="H50" s="4" t="str">
        <x:v>New primary-source review</x:v>
      </x:c>
      <x:c r="I50" s="4" t="str">
        <x:v>EpiF1 measures intended-site contact, not empirical selectivity across off-target molecules.</x:v>
      </x:c>
    </x:row>
    <x:row r="51" ht="56" customHeight="1">
      <x:c r="A51" s="14" t="str">
        <x:v>Protein design</x:v>
      </x:c>
      <x:c r="B51" s="14" t="str">
        <x:v>ProtDBench de novo target-binder design</x:v>
      </x:c>
      <x:c r="C51" s="14" t="str">
        <x:v>Undecided</x:v>
      </x:c>
      <x:c r="D51" s="14" t="str">
        <x:v>Benchmark</x:v>
      </x:c>
      <x:c r="E51" s="14" t="str">
        <x:v>10 target proteins; 24 h on one A100 per method/target setting. Includes generation, inverse folding and scoring.</x:v>
      </x:c>
      <x:c r="F51" s="14" t="str">
        <x:v>Target coordinates/sequence/hotspots → proposed binders</x:v>
      </x:c>
      <x:c r="G51" s="14" t="str">
        <x:v>PD-L1 passing-backbone counts: PXDesign 1,247; BoltzGen 549; RFdiffusion3 542; BindCraft 231. TNFα: PXDesign 57; BoltzGen 15.</x:v>
      </x:c>
      <x:c r="H51" s="14" t="str">
        <x:v>New primary-source review</x:v>
      </x:c>
      <x:c r="I51" s="14" t="str">
        <x:v>Counts of computational passes, not wet-lab hit fractions. Exact target-specific conditions and verifier must match.</x:v>
      </x:c>
    </x:row>
    <x:row r="52" ht="56" customHeight="1">
      <x:c r="A52" s="4" t="str">
        <x:v>Structure and conformational prediction</x:v>
      </x:c>
      <x:c r="B52" s="4" t="str">
        <x:v>ATOM3D residue identity from local structure (RES)</x:v>
      </x:c>
      <x:c r="C52" s="4" t="str">
        <x:v>Undecided</x:v>
      </x:c>
      <x:c r="D52" s="4" t="str">
        <x:v>Benchmark</x:v>
      </x:c>
      <x:c r="E52" s="4" t="str">
        <x:v>Test: 3,319 PDB structures yielding 1,261,342 local environments; train: 21,147 structures.</x:v>
      </x:c>
      <x:c r="F52" s="4" t="str">
        <x:v>3D local atomic environment → amino-acid label</x:v>
      </x:c>
      <x:c r="G52" s="4" t="str">
        <x:v>ATOM3D 3D-CNN test accuracy: 0.451.</x:v>
      </x:c>
      <x:c r="H52" s="4" t="str">
        <x:v>New primary-source review</x:v>
      </x:c>
      <x:c r="I52" s="4" t="str">
        <x:v>Environment count is not protein count. This is an established held-out structure task, unlike unverified internal diagnostics.</x:v>
      </x:c>
    </x:row>
    <x:row r="53" ht="56" customHeight="1">
      <x:c r="A53" s="14" t="str">
        <x:v>Structure and conformational prediction</x:v>
      </x:c>
      <x:c r="B53" s="14" t="str">
        <x:v>ATOM3D protein structure ranking (PSR)</x:v>
      </x:c>
      <x:c r="C53" s="14" t="str">
        <x:v>Undecided</x:v>
      </x:c>
      <x:c r="D53" s="14" t="str">
        <x:v>Benchmark</x:v>
      </x:c>
      <x:c r="E53" s="14" t="str">
        <x:v>CASP-derived target/decoy split; exact processed test-target/decoy counts not transcribed.</x:v>
      </x:c>
      <x:c r="F53" s="14" t="str">
        <x:v>Candidate coordinates → quality score</x:v>
      </x:c>
      <x:c r="G53" s="14" t="str">
        <x:v>Per-target mean Spearman: GNN 0.515; 3D-CNN 0.431. Global correlations are different metrics.</x:v>
      </x:c>
      <x:c r="H53" s="14" t="str">
        <x:v>New primary-source review</x:v>
      </x:c>
      <x:c r="I53" s="14" t="str">
        <x:v>Ranking a supplied set of structures is not de novo structure generation.</x:v>
      </x:c>
    </x:row>
    <x:row r="54" ht="56" customHeight="1">
      <x:c r="A54" s="4" t="str">
        <x:v>Structure and conformational prediction</x:v>
      </x:c>
      <x:c r="B54" s="4" t="str">
        <x:v>ProteinBench single-state folding — CAMEO 2022</x:v>
      </x:c>
      <x:c r="C54" s="4" t="str">
        <x:v>Undecided</x:v>
      </x:c>
      <x:c r="D54" s="4" t="str">
        <x:v>Benchmark</x:v>
      </x:c>
      <x:c r="E54" s="4" t="str">
        <x:v>183 proteins (&lt;750 residues), released Aug–Oct 2022.</x:v>
      </x:c>
      <x:c r="F54" s="4" t="str">
        <x:v>Sequence and protocol-permitted context → coordinates</x:v>
      </x:c>
      <x:c r="G54" s="4" t="str">
        <x:v>AF2 mean/median TM-score 0.871/0.952, RMSD 3.21/1.64 Å; ESMFold 0.847/0.929 and 3.98/2.10 Å.</x:v>
      </x:c>
      <x:c r="H54" s="4" t="str">
        <x:v>New primary-source review</x:v>
      </x:c>
      <x:c r="I54" s="4" t="str">
        <x:v>Models may have different MSA/template access. This is a historical target cohort, not the live CAMEO leaderboard.</x:v>
      </x:c>
    </x:row>
    <x:row r="55" ht="70" customHeight="1">
      <x:c r="A55" s="14" t="str">
        <x:v>Structure and conformational prediction</x:v>
      </x:c>
      <x:c r="B55" s="14" t="str">
        <x:v>ProteinBench multistate conformations — apo/holo and BPTI</x:v>
      </x:c>
      <x:c r="C55" s="14" t="str">
        <x:v>Undecided</x:v>
      </x:c>
      <x:c r="D55" s="14" t="str">
        <x:v>Benchmark</x:v>
      </x:c>
      <x:c r="E55" s="14" t="str">
        <x:v>Apo/holo: 91 protein pairs, 20 generated conformations per protein. BPTI: one 58-residue protein, 5 MD clusters, N=10/100/1000 samples.</x:v>
      </x:c>
      <x:c r="F55" s="14" t="str">
        <x:v>Sequence → conformational ensemble</x:v>
      </x:c>
      <x:c r="G55" s="14" t="str">
        <x:v>Apo/holo TM-ensemble: AlphaFlow-PDB 0.873; MSA-depth256 0.867. BPTI N=1000: ConfDiff-ESM-force ensemble RMSD 1.36 Å.</x:v>
      </x:c>
      <x:c r="H55" s="14" t="str">
        <x:v>New primary-source review</x:v>
      </x:c>
      <x:c r="I55" s="14" t="str">
        <x:v>Sample count is not the number of independent test proteins; BPTI alone gives narrow generalization evidence.</x:v>
      </x:c>
    </x:row>
    <x:row r="56" ht="56" customHeight="1">
      <x:c r="A56" s="4" t="str">
        <x:v>Structure and conformational prediction</x:v>
      </x:c>
      <x:c r="B56" s="4" t="str">
        <x:v>ProteinBench ensemble distribution — ATLAS</x:v>
      </x:c>
      <x:c r="C56" s="4" t="str">
        <x:v>Undecided</x:v>
      </x:c>
      <x:c r="D56" s="4" t="str">
        <x:v>Benchmark</x:v>
      </x:c>
      <x:c r="E56" s="4" t="str">
        <x:v>82 held-out proteins; 250 generated conformations per protein.</x:v>
      </x:c>
      <x:c r="F56" s="4" t="str">
        <x:v>Sequence → ensemble</x:v>
      </x:c>
      <x:c r="G56" s="4" t="str">
        <x:v>AlphaFlow-MD: per-target RMSF correlation 0.85 and PCA-Wasserstein 1.55; ConfDiff PCA-Wasserstein 1.41 (paper's units).</x:v>
      </x:c>
      <x:c r="H56" s="4" t="str">
        <x:v>New primary-source review</x:v>
      </x:c>
      <x:c r="I56" s="4" t="str">
        <x:v>MD reference is simulation-derived, not an exhaustive experimental distribution. Preserve alignment, projection and aggregation.</x:v>
      </x:c>
    </x:row>
    <x:row r="57" ht="70" customHeight="1">
      <x:c r="A57" s="14" t="str">
        <x:v>Structure and conformational prediction</x:v>
      </x:c>
      <x:c r="B57" s="14" t="str">
        <x:v>BioEmu benchmark collection — states, dynamics and free energy</x:v>
      </x:c>
      <x:c r="C57" s="14" t="str">
        <x:v>Undecided</x:v>
      </x:c>
      <x:c r="D57" s="14" t="str">
        <x:v>Benchmark</x:v>
      </x:c>
      <x:c r="E57" s="14" t="str">
        <x:v>Multiple panels: domain motion, local unfolding, cryptic pockets, MD emulation and experimental folding free energies. Exact panel sizes not re-counted.</x:v>
      </x:c>
      <x:c r="F57" s="14" t="str">
        <x:v>Protein sequence → conformational ensemble</x:v>
      </x:c>
      <x:c r="G57" s="14" t="str">
        <x:v>Official model card: domain-motion coverage 83%; cryptic-pocket apo/holo coverage 55%/88%; experimental stability MAE ~0.9 kcal/mol, Spearman ~0.6.</x:v>
      </x:c>
      <x:c r="H57" s="14" t="str">
        <x:v>New primary-source review</x:v>
      </x:c>
      <x:c r="I57" s="14" t="str">
        <x:v>Pin benchmark/model revision: version changes affect values. Panel scores are not one pooled success rate.</x:v>
      </x:c>
    </x:row>
    <x:row r="58" ht="84" customHeight="1">
      <x:c r="A58" s="4" t="str">
        <x:v>Structure and conformational prediction</x:v>
      </x:c>
      <x:c r="B58" s="4" t="str">
        <x:v>PFMBench structure-derived prediction panel</x:v>
      </x:c>
      <x:c r="C58" s="4" t="str">
        <x:v>Undecided</x:v>
      </x:c>
      <x:c r="D58" s="4" t="str">
        <x:v>Benchmark</x:v>
      </x:c>
      <x:c r="E58" s="4" t="str">
        <x:v>Test sizes: Contact: 1,501; FoldClass: 1,630; SecondaryStructure: 8,262</x:v>
      </x:c>
      <x:c r="F58" s="4" t="str">
        <x:v>Protein sequences/features; partner/context inputs for interaction tasks</x:v>
      </x:c>
      <x:c r="G58" s="4" t="str">
        <x:v>ESM2-Adapter, Table 1 means: Contact Top L/5 0.7199; FoldClass Accuracy 0.7859; SecondaryStructure Accuracy 0.7601</x:v>
      </x:c>
      <x:c r="H58" s="4" t="str">
        <x:v>New primary-source review</x:v>
      </x:c>
      <x:c r="I58" s="4" t="str">
        <x:v>These are PFMBench-specific processed datasets/splits, not interchangeable with PEER/ProtST results. F1 is not Fmax. Affinity-named AUROC tasks are classification, not KD regression. Exact loaders required.</x:v>
      </x:c>
    </x:row>
    <x:row r="59" ht="182" customHeight="1">
      <x:c r="A59" s="14" t="str">
        <x:v>Biomedical visual evidence</x:v>
      </x:c>
      <x:c r="B59" s="14" t="str">
        <x:v>Biomedical VQA: VQA-RAD / SLAKE-English / PathVQA / VQA-Med 2019</x:v>
      </x:c>
      <x:c r="C59" s="14" t="str">
        <x:v>Undecided</x:v>
      </x:c>
      <x:c r="D59" s="14" t="str">
        <x:v>Benchmark</x:v>
      </x:c>
      <x:c r="E59" s="14" t="str">
        <x:v>Distinct official task splits; exact test counts not re-established. Open/closed answer groups must remain separate.</x:v>
      </x:c>
      <x:c r="F59" s="14" t="str">
        <x:v>Radiology images with questions; Medical images with English questions; Pathology images with questions; Medical images and questions</x:v>
      </x:c>
      <x:c r="G59" s="14" t="str">
        <x:v>MedVInT-TD: 73.7% open-answer and 86.8% closed-answer accuracy on VQA-RAD after task-specific fine-tuning.
MedVInT-TE: 88.2% open-answer and 87.7% closed-answer accuracy on SLAKE after task-specific fine-tuning.
LLaVA-Med initialized from Vicuna: PathVQA 38.87 open-answer token recall and 91.65% closed-answer accuracy, after task-specific fine-tuning.
MedVInT-TE: 70.5% overall accuracy on VQA-Med 2019 after task-specific fine-tuning.</x:v>
      </x:c>
      <x:c r="H59" s="14" t="str">
        <x:v>Original 64-setting catalog; published scores carried forward</x:v>
      </x:c>
      <x:c r="I59" s="14" t="str">
        <x:v>Medical-image performance does not show use of protein sequence/structure embeddings. Open-answer scorers differ between papers. | Medical-image performance does not show use of protein sequence/structure embeddings. Open-answer scorers differ between papers. | Medical-image performance does not show use of protein sequence/structure embeddings. Open-answer scorers differ between papers. | Medical-image performance does not show use of protein sequence/structure embeddings. Open-answer scorers differ between papers.</x:v>
      </x:c>
    </x:row>
    <x:row r="60" ht="70" customHeight="1">
      <x:c r="A60" s="4" t="str">
        <x:v>Biomedical visual evidence</x:v>
      </x:c>
      <x:c r="B60" s="4" t="str">
        <x:v>PMC-VQA figure question answering</x:v>
      </x:c>
      <x:c r="C60" s="4" t="str">
        <x:v>Undecided</x:v>
      </x:c>
      <x:c r="D60" s="4" t="str">
        <x:v>Benchmark</x:v>
      </x:c>
      <x:c r="E60" s="4" t="str">
        <x:v>Reviewed v6: 50,000 initial test examples; 2,000 manually reviewed clean test examples.</x:v>
      </x:c>
      <x:c r="F60" s="4" t="str">
        <x:v>Image, question, and optionally answer choices</x:v>
      </x:c>
      <x:c r="G60" s="4" t="str">
        <x:v>The paper reports initial and manually cleaned PMC-VQA tests. A numeric result tied to an exact model and that exact split is not transcribed here.</x:v>
      </x:c>
      <x:c r="H60" s="4" t="str">
        <x:v>Original 64-setting catalog; published scores carried forward</x:v>
      </x:c>
      <x:c r="I60" s="4" t="str">
        <x:v>Specify initial versus cleaned test set. Caption-derived labels need not be visually answerable without filtering.</x:v>
      </x:c>
    </x:row>
    <x:row r="61" ht="70" customHeight="1">
      <x:c r="A61" s="14" t="str">
        <x:v>Biomedical visual evidence</x:v>
      </x:c>
      <x:c r="B61" s="14" t="str">
        <x:v>LLaVA-Med biomedical visual conversations</x:v>
      </x:c>
      <x:c r="C61" s="14" t="str">
        <x:v>Undecided</x:v>
      </x:c>
      <x:c r="D61" s="14" t="str">
        <x:v>Judged evaluation</x:v>
      </x:c>
      <x:c r="E61" s="14" t="str">
        <x:v>Published 50-image conversation-evaluation setting; teacher-generated text references.</x:v>
      </x:c>
      <x:c r="F61" s="14" t="str">
        <x:v>Biomedical image and conversational questions</x:v>
      </x:c>
      <x:c r="G61" s="14" t="str">
        <x:v>GPT-assisted relative answer-quality comparisons are reported. A verified single aggregate for the specified qa50 setting is not transcribed here.</x:v>
      </x:c>
      <x:c r="H61" s="14" t="str">
        <x:v>Original 64-setting catalog; published scores carried forward</x:v>
      </x:c>
      <x:c r="I61" s="14" t="str">
        <x:v>Teacher reference has textual context that the image may not reveal. Judgment is not direct clinician-verified molecular truth.</x:v>
      </x:c>
    </x:row>
    <x:row r="62" ht="42" customHeight="1">
      <x:c r="A62" s="4" t="str">
        <x:v>Other biological modalities and molecular interactions</x:v>
      </x:c>
      <x:c r="B62" s="4" t="str">
        <x:v>Drug–target interaction: BioSNAP / Human / BindingDB</x:v>
      </x:c>
      <x:c r="C62" s="4" t="str">
        <x:v>Undecided</x:v>
      </x:c>
      <x:c r="D62" s="4" t="str">
        <x:v>Benchmark</x:v>
      </x:c>
      <x:c r="E62" s="4" t="str">
        <x:v>Three source benchmarks; preserve each split/negative/threshold rule.</x:v>
      </x:c>
      <x:c r="F62" s="4" t="str">
        <x:v>Small-molecule representation and protein sequence</x:v>
      </x:c>
      <x:c r="G62" s="4" t="str">
        <x:v>BioT5+ AUROC: BioSNAP 0.939 ± 0.001; Human 0.987 ± 0.001; BindingDB 0.964 ± 0.001.</x:v>
      </x:c>
      <x:c r="H62" s="4" t="str">
        <x:v>Original 64-setting catalog; published scores carried forward</x:v>
      </x:c>
      <x:c r="I62" s="4" t="str">
        <x:v>Secondary to the protein focus. Not protein–protein recognition or Affibody–pMHC evaluation.</x:v>
      </x:c>
    </x:row>
    <x:row r="63" ht="56" customHeight="1">
      <x:c r="A63" s="14" t="str">
        <x:v>Other biological modalities and molecular interactions</x:v>
      </x:c>
      <x:c r="B63" s="14" t="str">
        <x:v>BioReason KEGG pathway/disease</x:v>
      </x:c>
      <x:c r="C63" s="14" t="str">
        <x:v>Undecided</x:v>
      </x:c>
      <x:c r="D63" s="14" t="str">
        <x:v>Benchmark</x:v>
      </x:c>
      <x:c r="E63" s="14" t="str">
        <x:v>290 test entries in main table; 1,449 overall entries across splits.</x:v>
      </x:c>
      <x:c r="F63" s="14" t="str">
        <x:v>Reference/variant DNA and pathway context</x:v>
      </x:c>
      <x:c r="G63" s="14" t="str">
        <x:v>Evo2 + Qwen3-4B + GRPO: 98.28% accuracy, 93.05 macro-F1; Qwen3-4B-only: 90.00% accuracy, 79.66 macro-F1.</x:v>
      </x:c>
      <x:c r="H63" s="14" t="str">
        <x:v>Original 64-setting catalog; published scores carried forward</x:v>
      </x:c>
      <x:c r="I63" s="14" t="str">
        <x:v>Correct final disease labels do not verify every generated mechanistic statement.</x:v>
      </x:c>
    </x:row>
    <x:row r="64" ht="70" customHeight="1">
      <x:c r="A64" s="4" t="str">
        <x:v>Other biological modalities and molecular interactions</x:v>
      </x:c>
      <x:c r="B64" s="4" t="str">
        <x:v>BioReason VEP coding and non-SNV</x:v>
      </x:c>
      <x:c r="C64" s="4" t="str">
        <x:v>Undecided</x:v>
      </x:c>
      <x:c r="D64" s="4" t="str">
        <x:v>Benchmark</x:v>
      </x:c>
      <x:c r="E64" s="4" t="str">
        <x:v>Coding: approximately 1.23K reported test cases; non-SNV: 873. Distinct datasets.</x:v>
      </x:c>
      <x:c r="F64" s="4" t="str">
        <x:v>Reference/variant DNA and prompt; Variant representation/context</x:v>
      </x:c>
      <x:c r="G64" s="4" t="str">
        <x:v>Evo2 + Qwen3-4B: 80.21% accuracy, 80.00 F1; Evo2-only: 70.07% accuracy, 49.19 F1.
Evo2 + Qwen3-4B: 83.85% accuracy, 85.02 F1; Evo2-only: 76.17% accuracy, 66.51 F1.</x:v>
      </x:c>
      <x:c r="H64" s="4" t="str">
        <x:v>Original 64-setting catalog; published scores carried forward</x:v>
      </x:c>
      <x:c r="I64" s="4" t="str">
        <x:v>Genomics task, not Affibody binding; annotation confidence and splitting matter. | Non-SNV classification should not be merged with single-amino-acid design accuracy.</x:v>
      </x:c>
    </x:row>
    <x:row r="65" ht="56" customHeight="1">
      <x:c r="A65" s="14" t="str">
        <x:v>Other biological modalities and molecular interactions</x:v>
      </x:c>
      <x:c r="B65" s="14" t="str">
        <x:v>Bio-posttrain KEGG unseen-network holdout</x:v>
      </x:c>
      <x:c r="C65" s="14" t="str">
        <x:v>Undecided</x:v>
      </x:c>
      <x:c r="D65" s="14" t="str">
        <x:v>Paper-specific holdout</x:v>
      </x:c>
      <x:c r="E65" s="14" t="str">
        <x:v>Adapted KEGG split by pathway networks; not automatically BioReason's original 290-example test.</x:v>
      </x:c>
      <x:c r="F65" s="14" t="str">
        <x:v>DNA representations and pathway context</x:v>
      </x:c>
      <x:c r="G65" s="14" t="str">
        <x:v>Qwen3-4B DNA OOD accuracy: SFT 0.753; SFT+RL 0.917; biology-CPT+SFT+RL 0.970.</x:v>
      </x:c>
      <x:c r="H65" s="14" t="str">
        <x:v>Original 64-setting catalog; published scores carried forward</x:v>
      </x:c>
      <x:c r="I65" s="14" t="str">
        <x:v>Pin the adapted split and preprocessing.</x:v>
      </x:c>
    </x:row>
    <x:row r="66" ht="56" customHeight="1">
      <x:c r="A66" s="4" t="str">
        <x:v>Other biological modalities and molecular interactions</x:v>
      </x:c>
      <x:c r="B66" s="4" t="str">
        <x:v>Bio-posttrain MEDEA expression-conditioned gene selection</x:v>
      </x:c>
      <x:c r="C66" s="4" t="str">
        <x:v>Undecided</x:v>
      </x:c>
      <x:c r="D66" s="4" t="str">
        <x:v>Paper-specific holdout</x:v>
      </x:c>
      <x:c r="E66" s="4" t="str">
        <x:v>Held-out disease: hepatoblastoma; additional cell-type analyses reported.</x:v>
      </x:c>
      <x:c r="F66" s="4" t="str">
        <x:v>Candidate genes, expression representations, disease and cell context</x:v>
      </x:c>
      <x:c r="G66" s="4" t="str">
        <x:v>The paper reports RNA target-selection ID/OOD experiments. An exact numeric result is not transcribed in this table.</x:v>
      </x:c>
      <x:c r="H66" s="4" t="str">
        <x:v>Original 64-setting catalog; published scores carried forward</x:v>
      </x:c>
      <x:c r="I66" s="4" t="str">
        <x:v>Fixed-input target nomination is not the original full agent workflow or clinical validation.</x:v>
      </x:c>
    </x:row>
    <x:row r="67" ht="56" customHeight="1">
      <x:c r="A67" s="14" t="str">
        <x:v>Other biological modalities and molecular interactions</x:v>
      </x:c>
      <x:c r="B67" s="14" t="str">
        <x:v>ATOM3D protein–ligand affinity (LBA)</x:v>
      </x:c>
      <x:c r="C67" s="14" t="str">
        <x:v>Undecided</x:v>
      </x:c>
      <x:c r="D67" s="14" t="str">
        <x:v>Benchmark</x:v>
      </x:c>
      <x:c r="E67" s="14" t="str">
        <x:v>30%-identity split: train 3,507, validation 466, test 490 complexes. The 60% split is a different protocol.</x:v>
      </x:c>
      <x:c r="F67" s="14" t="str">
        <x:v>Protein–ligand coordinates → assay-derived affinity</x:v>
      </x:c>
      <x:c r="G67" s="14" t="str">
        <x:v>3D-CNN: RMSE 1.416, Spearman 0.553; GNN: RMSE 1.570, Spearman 0.628.</x:v>
      </x:c>
      <x:c r="H67" s="14" t="str">
        <x:v>New primary-source review</x:v>
      </x:c>
      <x:c r="I67" s="14" t="str">
        <x:v>Target transformation and split must match. Not antibody–antigen affinity.</x:v>
      </x:c>
    </x:row>
    <x:row r="68" ht="56" customHeight="1">
      <x:c r="A68" s="4" t="str">
        <x:v>Other biological modalities and molecular interactions</x:v>
      </x:c>
      <x:c r="B68" s="4" t="str">
        <x:v>ATOM3D ligand efficacy (LEP)</x:v>
      </x:c>
      <x:c r="C68" s="4" t="str">
        <x:v>Undecided</x:v>
      </x:c>
      <x:c r="D68" s="4" t="str">
        <x:v>Benchmark</x:v>
      </x:c>
      <x:c r="E68" s="4" t="str">
        <x:v>527 source small molecules; final retained train/test counts not transcribed.</x:v>
      </x:c>
      <x:c r="F68" s="4" t="str">
        <x:v>Ligand/receptor conformations → efficacy class</x:v>
      </x:c>
      <x:c r="G68" s="4" t="str">
        <x:v>AUROC: GNN 0.740; 3D-CNN 0.589.</x:v>
      </x:c>
      <x:c r="H68" s="4" t="str">
        <x:v>New primary-source review</x:v>
      </x:c>
      <x:c r="I68" s="4" t="str">
        <x:v>Activity/efficacy is distinct from affinity. Source molecule count is not a test denominator.</x:v>
      </x:c>
    </x:row>
    <x:row r="69" ht="56" customHeight="1">
      <x:c r="A69" s="14" t="str">
        <x:v>Other biological modalities and molecular interactions</x:v>
      </x:c>
      <x:c r="B69" s="14" t="str">
        <x:v>ATOM3D RNA structure ranking (RSR)</x:v>
      </x:c>
      <x:c r="C69" s="14" t="str">
        <x:v>Undecided</x:v>
      </x:c>
      <x:c r="D69" s="14" t="str">
        <x:v>Benchmark</x:v>
      </x:c>
      <x:c r="E69" s="14" t="str">
        <x:v>RNA-Puzzles 1–21; test puzzles 18–21, with decoys per target. Exact retained test-decoy count not re-counted.</x:v>
      </x:c>
      <x:c r="F69" s="14" t="str">
        <x:v>RNA candidate coordinates → quality score</x:v>
      </x:c>
      <x:c r="G69" s="14" t="str">
        <x:v>Mean per-target Spearman: 3D-CNN 0.264; GNN 0.234.</x:v>
      </x:c>
      <x:c r="H69" s="14" t="str">
        <x:v>New primary-source review</x:v>
      </x:c>
      <x:c r="I69" s="14" t="str">
        <x:v>RNA task retained as adjacent scope, not a protein benchmark.</x:v>
      </x:c>
    </x:row>
    <x:row r="70" ht="42" customHeight="1">
      <x:c r="A70" s="4" t="str">
        <x:v>Other biological modalities and molecular interactions</x:v>
      </x:c>
      <x:c r="B70" s="4" t="str">
        <x:v>ATOM3D small-molecule properties (SMP / QM9)</x:v>
      </x:c>
      <x:c r="C70" s="4" t="str">
        <x:v>Undecided</x:v>
      </x:c>
      <x:c r="D70" s="4" t="str">
        <x:v>Benchmark</x:v>
      </x:c>
      <x:c r="E70" s="4" t="str">
        <x:v>Processed test 12,943 molecules (train 103,547; validation 12,943).</x:v>
      </x:c>
      <x:c r="F70" s="4" t="str">
        <x:v>Small-molecule atom coordinates → property</x:v>
      </x:c>
      <x:c r="G70" s="4" t="str">
        <x:v>ENN dipole MAE 0.052 D; 3D-CNN 0.754 D. Property-specific scores must remain separate.</x:v>
      </x:c>
      <x:c r="H70" s="4" t="str">
        <x:v>New primary-source review</x:v>
      </x:c>
      <x:c r="I70" s="4" t="str">
        <x:v>Adjacency only; not protein biology. Units depend on property.</x:v>
      </x:c>
    </x:row>
    <x:row r="71" ht="84" customHeight="1">
      <x:c r="A71" s="14" t="str">
        <x:v>Other biological modalities and molecular interactions</x:v>
      </x:c>
      <x:c r="B71" s="14" t="str">
        <x:v>PFMBench PDBbind / BindingDB affinity panel</x:v>
      </x:c>
      <x:c r="C71" s="14" t="str">
        <x:v>Undecided</x:v>
      </x:c>
      <x:c r="D71" s="14" t="str">
        <x:v>Benchmark</x:v>
      </x:c>
      <x:c r="E71" s="14" t="str">
        <x:v>Test sizes: PDBBind: 1,836; BindingDB: 1,139</x:v>
      </x:c>
      <x:c r="F71" s="14" t="str">
        <x:v>Protein sequences/features; partner/context inputs for interaction tasks</x:v>
      </x:c>
      <x:c r="G71" s="14" t="str">
        <x:v>ESM2-Adapter, Table 1 means: PDBBind Spearman 0.1677; BindingDB Spearman 0.1922</x:v>
      </x:c>
      <x:c r="H71" s="14" t="str">
        <x:v>New primary-source review</x:v>
      </x:c>
      <x:c r="I71" s="14" t="str">
        <x:v>These are PFMBench-specific processed datasets/splits, not interchangeable with PEER/ProtST results. F1 is not Fmax. Affinity-named AUROC tasks are classification, not KD regression. Exact loaders required.</x:v>
      </x:c>
    </x:row>
  </x:sheetData>
  <x:mergeCells>
    <x:mergeCell ref="A1:I1"/>
    <x:mergeCell ref="A2:I2"/>
  </x:mergeCells>
  <x:conditionalFormatting sqref="C5:C71">
    <x:cfRule type="expression" dxfId="0" priority="1">
      <x:formula>C5="Keep"</x:formula>
    </x:cfRule>
    <x:cfRule type="expression" dxfId="1" priority="2">
      <x:formula>C5="Defer"</x:formula>
    </x:cfRule>
    <x:cfRule type="expression" dxfId="2" priority="3">
      <x:formula>C5="Drop"</x:formula>
    </x:cfRule>
  </x:conditionalFormatting>
  <x:dataValidations count="1">
    <x:dataValidation type="list" sqref="C5:C71">
      <x:formula1>"Undecided,Keep,Defer,Drop"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095cb615924aa3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2" hidden="0" customWidth="1"/>
    <x:col min="2" max="2" width="40" hidden="0" customWidth="1"/>
    <x:col min="3" max="3" width="29" hidden="0" customWidth="1"/>
    <x:col min="4" max="4" width="40" hidden="0" customWidth="1"/>
    <x:col min="5" max="5" width="40" hidden="0" customWidth="1"/>
    <x:col min="6" max="6" width="36" hidden="0" customWidth="1"/>
    <x:col min="7" max="7" width="35" hidden="0" customWidth="1"/>
    <x:col min="8" max="8" width="46" hidden="0" customWidth="1"/>
    <x:col min="9" max="9" width="36" hidden="0" customWidth="1"/>
    <x:col min="10" max="10" width="38" hidden="0" customWidth="1"/>
    <x:col min="11" max="11" width="43" hidden="0" customWidth="1"/>
    <x:col min="12" max="12" width="43" hidden="0" customWidth="1"/>
    <x:col min="13" max="13" width="32" hidden="0" customWidth="1"/>
  </x:cols>
  <x:sheetData>
    <x:row r="1" ht="38" customHeight="1">
      <x:c r="A1" s="10" t="str">
        <x:v>SOURCE-SPECIFIC EVALUATION CONTRACTS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36" customHeight="1">
      <x:c r="A2" s="16" t="str">
        <x:v>Exact split, modality, training regime and evidence type travel with each result. No implied comparability across incompatible protocols.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</x:row>
    <x:row r="4" ht="36" customHeight="1">
      <x:c r="A4" s="28" t="str">
        <x:v>Category</x:v>
      </x:c>
      <x:c r="B4" s="28" t="str">
        <x:v>Dataset / protocol</x:v>
      </x:c>
      <x:c r="C4" s="28" t="str">
        <x:v>Evaluation type</x:v>
      </x:c>
      <x:c r="D4" s="28" t="str">
        <x:v>Source / test size</x:v>
      </x:c>
      <x:c r="E4" s="28" t="str">
        <x:v>Input interface</x:v>
      </x:c>
      <x:c r="F4" s="28" t="str">
        <x:v>Reference evidence</x:v>
      </x:c>
      <x:c r="G4" s="28" t="str">
        <x:v>Training / inference regime</x:v>
      </x:c>
      <x:c r="H4" s="28" t="str">
        <x:v>Qualification</x:v>
      </x:c>
      <x:c r="I4" s="28" t="str">
        <x:v>Result provenance</x:v>
      </x:c>
      <x:c r="J4" s="28" t="str">
        <x:v>Access status</x:v>
      </x:c>
      <x:c r="K4" s="28" t="str">
        <x:v>Paper / primary URLs</x:v>
      </x:c>
      <x:c r="L4" s="28" t="str">
        <x:v>Data / code URLs</x:v>
      </x:c>
      <x:c r="M4" s="28" t="str">
        <x:v>Source location</x:v>
      </x:c>
    </x:row>
    <x:row r="5" ht="56" customHeight="1">
      <x:c r="A5" s="14" t="str">
        <x:v>Protein properties, interactions and developability</x:v>
      </x:c>
      <x:c r="B5" s="14" t="str">
        <x:v>DeepSol solubility — PEER split</x:v>
      </x:c>
      <x:c r="C5" s="14" t="str">
        <x:v>Benchmark</x:v>
      </x:c>
      <x:c r="D5" s="14" t="str">
        <x:v>Test: 1,999 proteins.
Train: 62,478; validation: 6,942 (PEER Table 1).</x:v>
      </x:c>
      <x:c r="E5" s="14" t="str">
        <x:v>Protein sequence</x:v>
      </x:c>
      <x:c r="F5" s="14" t="str">
        <x:v>Dataset experimental/curated labels</x:v>
      </x:c>
      <x:c r="G5" s="14" t="str">
        <x:v>Paper-specific; see source qualifications</x:v>
      </x:c>
      <x:c r="H5" s="14" t="str">
        <x:v>Task-trained models; BioT5+ is multitask and BioT5 single-task. Count is PEER's published split, not a new loader count.</x:v>
      </x:c>
      <x:c r="I5" s="14" t="str">
        <x:v>Carried forward from 14 Oct 2026 source-linked workbook; not independently rerun</x:v>
      </x:c>
      <x:c r="J5" s="14" t="str">
        <x:v>Source/catalog verified previously; raw benchmark not bundled</x:v>
      </x:c>
      <x:c r="K5" s="14" t="str">
        <x:v>https://arxiv.org/html/2206.02096v2
https://arxiv.org/html/2402.17810v2</x:v>
      </x:c>
      <x:c r="L5" s="14" t="str">
        <x:v>https://github.com/DeepGraphLearning/PEER_Benchmark</x:v>
      </x:c>
      <x:c r="M5" s="14" t="str">
        <x:v>PEER Table 1; BioT5+ Table 6</x:v>
      </x:c>
    </x:row>
    <x:row r="6" ht="70" customHeight="1">
      <x:c r="A6" s="4" t="str">
        <x:v>Protein properties, interactions and developability</x:v>
      </x:c>
      <x:c r="B6" s="4" t="str">
        <x:v>DeepLoc — binary and 10-compartment localization</x:v>
      </x:c>
      <x:c r="C6" s="4" t="str">
        <x:v>Benchmark</x:v>
      </x:c>
      <x:c r="D6" s="4" t="str">
        <x:v>Published PEER test counts:
binary 1,746; 10-compartment 2,768.</x:v>
      </x:c>
      <x:c r="E6" s="4" t="str">
        <x:v>Protein sequence; Protein sequence; label descriptions in zero-shot mode</x:v>
      </x:c>
      <x:c r="F6" s="4" t="str">
        <x:v>Curated localization labels; Curated compartment labels</x:v>
      </x:c>
      <x:c r="G6" s="4" t="str">
        <x:v>Paper-specific; see source qualifications</x:v>
      </x:c>
      <x:c r="H6" s="4" t="str">
        <x:v>Binary comparison uses task-tuned systems. Ten-class numbers use frozen encoders + trained heads. These are distinct endpoints.</x:v>
      </x:c>
      <x:c r="I6" s="4" t="str">
        <x:v>Carried forward from 14 Oct 2026 source-linked workbook; not independently rerun</x:v>
      </x:c>
      <x:c r="J6" s="4" t="str">
        <x:v>Source/catalog verified previously; raw benchmark not bundled</x:v>
      </x:c>
      <x:c r="K6" s="4" t="str">
        <x:v>https://arxiv.org/html/2206.02096v2
https://arxiv.org/html/2402.17810v2
https://proceedings.mlr.press/v202/xu23t/xu23t.pdf</x:v>
      </x:c>
      <x:c r="L6" s="4" t="str">
        <x:v>https://github.com/DeepGraphLearning/PEER_Benchmark
https://github.com/DeepGraphLearning/ProtST</x:v>
      </x:c>
      <x:c r="M6" s="4" t="str">
        <x:v>PEER Table 1; BioT5+ Table 6; ProtST Table 2 (Fix encoder)</x:v>
      </x:c>
    </x:row>
    <x:row r="7" ht="56" customHeight="1">
      <x:c r="A7" s="14" t="str">
        <x:v>Protein properties, interactions and developability</x:v>
      </x:c>
      <x:c r="B7" s="14" t="str">
        <x:v>Envision β-lactamase — PEER split</x:v>
      </x:c>
      <x:c r="C7" s="14" t="str">
        <x:v>Benchmark</x:v>
      </x:c>
      <x:c r="D7" s="14" t="str">
        <x:v>Test: 520 variants.
Train: 4,158; validation: 520.</x:v>
      </x:c>
      <x:c r="E7" s="14" t="str">
        <x:v>Protein/variant sequence</x:v>
      </x:c>
      <x:c r="F7" s="14" t="str">
        <x:v>Existing experimental measurements</x:v>
      </x:c>
      <x:c r="G7" s="14" t="str">
        <x:v>Paper-specific; see source qualifications</x:v>
      </x:c>
      <x:c r="H7" s="14" t="str">
        <x:v>Full-model supervised fine-tuning. Assay-specific ranking, not an overall biology score.</x:v>
      </x:c>
      <x:c r="I7" s="14" t="str">
        <x:v>Carried forward from 14 Oct 2026 source-linked workbook; not independently rerun</x:v>
      </x:c>
      <x:c r="J7" s="14" t="str">
        <x:v>Source/catalog verified previously; raw benchmark not bundled</x:v>
      </x:c>
      <x:c r="K7" s="14" t="str">
        <x:v>https://arxiv.org/html/2206.02096v2
https://proceedings.mlr.press/v202/xu23t/xu23t.pdf</x:v>
      </x:c>
      <x:c r="L7" s="14" t="str">
        <x:v>https://github.com/DeepGraphLearning/PEER_Benchmark</x:v>
      </x:c>
      <x:c r="M7" s="14" t="str">
        <x:v>PEER Table 1; ProtST Table 2 (Tune full model)</x:v>
      </x:c>
    </x:row>
    <x:row r="8" ht="56" customHeight="1">
      <x:c r="A8" s="4" t="str">
        <x:v>Protein properties, interactions and developability</x:v>
      </x:c>
      <x:c r="B8" s="4" t="str">
        <x:v>TAPE GFP / Sarkisyan fluorescence</x:v>
      </x:c>
      <x:c r="C8" s="4" t="str">
        <x:v>Benchmark</x:v>
      </x:c>
      <x:c r="D8" s="4" t="str">
        <x:v>Test: 27,217 variants.
Train: 21,446; validation: 5,362.</x:v>
      </x:c>
      <x:c r="E8" s="4" t="str">
        <x:v>Protein/variant sequence</x:v>
      </x:c>
      <x:c r="F8" s="4" t="str">
        <x:v>Existing experimental measurements</x:v>
      </x:c>
      <x:c r="G8" s="4" t="str">
        <x:v>Paper-specific; see source qualifications</x:v>
      </x:c>
      <x:c r="H8" s="4" t="str">
        <x:v>Full-model supervised fine-tuning. Source counts are the TAPE split documented in PEER, not STRIDE's generated batch.</x:v>
      </x:c>
      <x:c r="I8" s="4" t="str">
        <x:v>Carried forward from 14 Oct 2026 source-linked workbook; not independently rerun</x:v>
      </x:c>
      <x:c r="J8" s="4" t="str">
        <x:v>Source/catalog verified previously; raw benchmark not bundled</x:v>
      </x:c>
      <x:c r="K8" s="4" t="str">
        <x:v>https://arxiv.org/html/2206.02096v2
https://proceedings.mlr.press/v202/xu23t/xu23t.pdf</x:v>
      </x:c>
      <x:c r="L8" s="4" t="str">
        <x:v>https://github.com/songlab-cal/tape</x:v>
      </x:c>
      <x:c r="M8" s="4" t="str">
        <x:v>PEER Table 1; ProtST Table 2</x:v>
      </x:c>
    </x:row>
    <x:row r="9" ht="56" customHeight="1">
      <x:c r="A9" s="14" t="str">
        <x:v>Protein properties, interactions and developability</x:v>
      </x:c>
      <x:c r="B9" s="14" t="str">
        <x:v>TAPE / Rocklin stability</x:v>
      </x:c>
      <x:c r="C9" s="14" t="str">
        <x:v>Benchmark</x:v>
      </x:c>
      <x:c r="D9" s="14" t="str">
        <x:v>Test: 12,851 proteins.
Train: 53,571; validation: 2,512.</x:v>
      </x:c>
      <x:c r="E9" s="14" t="str">
        <x:v>Protein/variant sequence</x:v>
      </x:c>
      <x:c r="F9" s="14" t="str">
        <x:v>Existing experimental measurements</x:v>
      </x:c>
      <x:c r="G9" s="14" t="str">
        <x:v>Paper-specific; see source qualifications</x:v>
      </x:c>
      <x:c r="H9" s="14" t="str">
        <x:v>Full-model supervised fine-tuning. Do not conflate with NatureLM's binarized stability task.</x:v>
      </x:c>
      <x:c r="I9" s="14" t="str">
        <x:v>Carried forward from 14 Oct 2026 source-linked workbook; not independently rerun</x:v>
      </x:c>
      <x:c r="J9" s="14" t="str">
        <x:v>Source/catalog verified previously; raw benchmark not bundled</x:v>
      </x:c>
      <x:c r="K9" s="14" t="str">
        <x:v>https://arxiv.org/html/2206.02096v2
https://proceedings.mlr.press/v202/xu23t/xu23t.pdf</x:v>
      </x:c>
      <x:c r="L9" s="14" t="str">
        <x:v>https://github.com/songlab-cal/tape</x:v>
      </x:c>
      <x:c r="M9" s="14" t="str">
        <x:v>PEER Table 1; ProtST Table 2</x:v>
      </x:c>
    </x:row>
    <x:row r="10" ht="70" customHeight="1">
      <x:c r="A10" s="4" t="str">
        <x:v>Protein properties, interactions and developability</x:v>
      </x:c>
      <x:c r="B10" s="4" t="str">
        <x:v>FLIP — AAV and Meltome</x:v>
      </x:c>
      <x:c r="C10" s="4" t="str">
        <x:v>Benchmark</x:v>
      </x:c>
      <x:c r="D10" s="4" t="str">
        <x:v>ProtST splits: AAV two_vs_many; Meltome human_cell.
Exact test counts not verified in this review.</x:v>
      </x:c>
      <x:c r="E10" s="4" t="str">
        <x:v>Protein/variant sequence</x:v>
      </x:c>
      <x:c r="F10" s="4" t="str">
        <x:v>Existing experimental measurements</x:v>
      </x:c>
      <x:c r="G10" s="4" t="str">
        <x:v>Paper-specific; see source qualifications</x:v>
      </x:c>
      <x:c r="H10" s="4" t="str">
        <x:v>Two distinct source datasets, grouped under the FLIP suite. Full-model fine-tuning; no cross-assay average added.</x:v>
      </x:c>
      <x:c r="I10" s="4" t="str">
        <x:v>Carried forward from 14 Oct 2026 source-linked workbook; not independently rerun</x:v>
      </x:c>
      <x:c r="J10" s="4" t="str">
        <x:v>Source/catalog verified previously; raw benchmark not bundled</x:v>
      </x:c>
      <x:c r="K10" s="4" t="str">
        <x:v>https://proceedings.mlr.press/v202/xu23t/xu23t.pdf
https://github.com/J-SNACKKB/FLIP</x:v>
      </x:c>
      <x:c r="L10" s="4" t="str">
        <x:v>https://github.com/J-SNACKKB/FLIP</x:v>
      </x:c>
      <x:c r="M10" s="4" t="str">
        <x:v>ProtST Table 2 and Appendix B.2</x:v>
      </x:c>
    </x:row>
    <x:row r="11" ht="56" customHeight="1">
      <x:c r="A11" s="14" t="str">
        <x:v>Protein properties, interactions and developability</x:v>
      </x:c>
      <x:c r="B11" s="14" t="str">
        <x:v>Human/Pan and yeast/Guo PPI — PEER</x:v>
      </x:c>
      <x:c r="C11" s="14" t="str">
        <x:v>Benchmark</x:v>
      </x:c>
      <x:c r="D11" s="14" t="str">
        <x:v>Published PEER test counts:
human 227 pairs; yeast 373 pairs.</x:v>
      </x:c>
      <x:c r="E11" s="14" t="str">
        <x:v>Two full protein sequences</x:v>
      </x:c>
      <x:c r="F11" s="14" t="str">
        <x:v>Curated interaction positives and dataset-specific negatives</x:v>
      </x:c>
      <x:c r="G11" s="14" t="str">
        <x:v>Paper-specific; see source qualifications</x:v>
      </x:c>
      <x:c r="H11" s="14" t="str">
        <x:v>Separate human/yeast negatives and splits. Generic PPI, not Affibody–pMHC specificity.</x:v>
      </x:c>
      <x:c r="I11" s="14" t="str">
        <x:v>Carried forward from 14 Oct 2026 source-linked workbook; not independently rerun</x:v>
      </x:c>
      <x:c r="J11" s="14" t="str">
        <x:v>Source/catalog verified previously; raw benchmark not bundled</x:v>
      </x:c>
      <x:c r="K11" s="14" t="str">
        <x:v>https://arxiv.org/html/2206.02096v2
https://arxiv.org/html/2402.17810v2</x:v>
      </x:c>
      <x:c r="L11" s="14" t="str">
        <x:v>https://github.com/DeepGraphLearning/PEER_Benchmark</x:v>
      </x:c>
      <x:c r="M11" s="14" t="str">
        <x:v>PEER Table 1; BioT5+ Table 6</x:v>
      </x:c>
    </x:row>
    <x:row r="12" ht="56" customHeight="1">
      <x:c r="A12" s="4" t="str">
        <x:v>Protein properties, interactions and developability</x:v>
      </x:c>
      <x:c r="B12" s="4" t="str">
        <x:v>NatureLM/PEER binarized stability — paper-specific protocol</x:v>
      </x:c>
      <x:c r="C12" s="4" t="str">
        <x:v>Paper-specific holdout</x:v>
      </x:c>
      <x:c r="D12" s="4" t="str">
        <x:v>NatureLM §7.2 uses classification. Exact label-conversion rule not resolved in this review.</x:v>
      </x:c>
      <x:c r="E12" s="4" t="str">
        <x:v>Protein sequence</x:v>
      </x:c>
      <x:c r="F12" s="4" t="str">
        <x:v>A binarized stability label in this paper's setup</x:v>
      </x:c>
      <x:c r="G12" s="4" t="str">
        <x:v>Source-specific; not a zero-shot/API claim</x:v>
      </x:c>
      <x:c r="H12" s="4" t="str">
        <x:v>Keep separate from TAPE's continuous stability regression. Do not silently change the paper's endpoint.</x:v>
      </x:c>
      <x:c r="I12" s="4" t="str">
        <x:v>Original 64-setting catalog; published scores carried forward</x:v>
      </x:c>
      <x:c r="J12" s="4" t="str">
        <x:v>Carried-forward access state; exact loader/scorer still needs verification</x:v>
      </x:c>
      <x:c r="K12" s="4" t="str">
        <x:v>https://arxiv.org/html/2502.07527v3</x:v>
      </x:c>
      <x:c r="L12" s="4" t="str">
        <x:v>https://github.com/microsoft/SFM</x:v>
      </x:c>
      <x:c r="M12" s="4" t="str">
        <x:v>Table 20</x:v>
      </x:c>
    </x:row>
    <x:row r="13" ht="70" customHeight="1">
      <x:c r="A13" s="14" t="str">
        <x:v>Protein properties, interactions and developability</x:v>
      </x:c>
      <x:c r="B13" s="14" t="str">
        <x:v>FLAb / FLAb2 antibody property collection</x:v>
      </x:c>
      <x:c r="C13" s="14" t="str">
        <x:v>Benchmark/data collection</x:v>
      </x:c>
      <x:c r="D13" s="14" t="str">
        <x:v>Current repository: 241 datasets; &gt;3 million assay points. Category counts 31/132/7/4/9/33/25 respectively (see details); not one held-out set.</x:v>
      </x:c>
      <x:c r="E13" s="14" t="str">
        <x:v>Antibody sequences; task-dependent measured context</x:v>
      </x:c>
      <x:c r="F13" s="14" t="str">
        <x:v>Experimental assay collections</x:v>
      </x:c>
      <x:c r="G13" s="14" t="str">
        <x:v>Separate zero-shot likelihood scoring and few-shot fitted prediction</x:v>
      </x:c>
      <x:c r="H13" s="14" t="str">
        <x:v>15 reference datasets are excluded from automated scoring; counts are corpus totals. Each assay has its own units, direction and split.</x:v>
      </x:c>
      <x:c r="I13" s="14" t="str">
        <x:v>New primary-source review</x:v>
      </x:c>
      <x:c r="J13" s="14" t="str">
        <x:v>Primary source checked; payload not downloaded</x:v>
      </x:c>
      <x:c r="K13" s="14" t="str">
        <x:v>https://github.com/Graylab/FLAb</x:v>
      </x:c>
      <x:c r="L13" s="14" t="str">
        <x:v>https://github.com/Graylab/FLAb</x:v>
      </x:c>
      <x:c r="M13" s="14" t="str">
        <x:v>README; data index; score_zero_shot / score_ft</x:v>
      </x:c>
    </x:row>
    <x:row r="14" ht="42" customHeight="1">
      <x:c r="A14" s="4" t="str">
        <x:v>Protein properties, interactions and developability</x:v>
      </x:c>
      <x:c r="B14" s="4" t="str">
        <x:v>ATOM3D interface contacts (PIP)</x:v>
      </x:c>
      <x:c r="C14" s="4" t="str">
        <x:v>Benchmark</x:v>
      </x:c>
      <x:c r="D14" s="4" t="str">
        <x:v>DIPS training and DB5 testing; exact processed test count not transcribed.</x:v>
      </x:c>
      <x:c r="E14" s="4" t="str">
        <x:v>Unbound protein structures → residue-pair contact</x:v>
      </x:c>
      <x:c r="F14" s="4" t="str">
        <x:v>Contacts calculated from experimental complexes</x:v>
      </x:c>
      <x:c r="G14" s="4" t="str">
        <x:v>Supervised models; original family/sequence exclusions</x:v>
      </x:c>
      <x:c r="H14" s="4" t="str">
        <x:v>Residue-pair contact prediction is not sequence-pair binary PPI and not binding affinity.</x:v>
      </x:c>
      <x:c r="I14" s="4" t="str">
        <x:v>New primary-source review</x:v>
      </x:c>
      <x:c r="J14" s="4" t="str">
        <x:v>Primary source checked; payload not downloaded</x:v>
      </x:c>
      <x:c r="K14" s="4" t="str">
        <x:v>https://arxiv.org/html/2012.04035v3</x:v>
      </x:c>
      <x:c r="L14" s="4" t="str">
        <x:v>https://www.atom3d.ai/pip.html</x:v>
      </x:c>
      <x:c r="M14" s="4" t="str">
        <x:v>PIP results; Table 4</x:v>
      </x:c>
    </x:row>
    <x:row r="15" ht="84" customHeight="1">
      <x:c r="A15" s="14" t="str">
        <x:v>Protein properties, interactions and developability</x:v>
      </x:c>
      <x:c r="B15" s="14" t="str">
        <x:v>PFMBench solubility panel</x:v>
      </x:c>
      <x:c r="C15" s="14" t="str">
        <x:v>Benchmark</x:v>
      </x:c>
      <x:c r="D15" s="14" t="str">
        <x:v>Test sizes: DeepSol: 6,934; DeepSoluE: 1,454; ProtSolM: 7,173; eSOL: 311</x:v>
      </x:c>
      <x:c r="E15" s="14" t="str">
        <x:v>Protein sequences/features; partner/context inputs for interaction tasks</x:v>
      </x:c>
      <x:c r="F15" s="14" t="str">
        <x:v>Source annotations/measurements; structure tasks use structural labels</x:v>
      </x:c>
      <x:c r="G15" s="14" t="str">
        <x:v>Supervised ESM2-Adapter, three-run mean</x:v>
      </x:c>
      <x:c r="H15" s="14" t="str">
        <x:v>These are PFMBench-specific processed datasets/splits, not interchangeable with PEER/ProtST results. F1 is not Fmax. Affinity-named AUROC tasks are classification, not KD regression. Exact loaders required.</x:v>
      </x:c>
      <x:c r="I15" s="14" t="str">
        <x:v>New primary-source review</x:v>
      </x:c>
      <x:c r="J15" s="14" t="str">
        <x:v>Primary source checked; payload not downloaded</x:v>
      </x:c>
      <x:c r="K15" s="14" t="str">
        <x:v>https://arxiv.org/html/2506.14796v1</x:v>
      </x:c>
      <x:c r="L15" s="14" t="str">
        <x:v>https://github.com/biomap-research/PFMBench</x:v>
      </x:c>
      <x:c r="M15" s="14" t="str">
        <x:v>Table 1; PFMBench details sheet</x:v>
      </x:c>
    </x:row>
    <x:row r="16" ht="84" customHeight="1">
      <x:c r="A16" s="4" t="str">
        <x:v>Protein properties, interactions and developability</x:v>
      </x:c>
      <x:c r="B16" s="4" t="str">
        <x:v>PFMBench localization and sorting-signal panel</x:v>
      </x:c>
      <x:c r="C16" s="4" t="str">
        <x:v>Benchmark</x:v>
      </x:c>
      <x:c r="D16" s="4" t="str">
        <x:v>Test sizes: DeepLocMulti: 751; DeepLoc2Multi: 2,744; DeepLocBinary: 848; SortingSignal: 186</x:v>
      </x:c>
      <x:c r="E16" s="4" t="str">
        <x:v>Protein sequences/features; partner/context inputs for interaction tasks</x:v>
      </x:c>
      <x:c r="F16" s="4" t="str">
        <x:v>Source annotations/measurements; structure tasks use structural labels</x:v>
      </x:c>
      <x:c r="G16" s="4" t="str">
        <x:v>Supervised ESM2-Adapter, three-run mean</x:v>
      </x:c>
      <x:c r="H16" s="4" t="str">
        <x:v>These are PFMBench-specific processed datasets/splits, not interchangeable with PEER/ProtST results. F1 is not Fmax. Affinity-named AUROC tasks are classification, not KD regression. Exact loaders required.</x:v>
      </x:c>
      <x:c r="I16" s="4" t="str">
        <x:v>New primary-source review</x:v>
      </x:c>
      <x:c r="J16" s="4" t="str">
        <x:v>Primary source checked; payload not downloaded</x:v>
      </x:c>
      <x:c r="K16" s="4" t="str">
        <x:v>https://arxiv.org/html/2506.14796v1</x:v>
      </x:c>
      <x:c r="L16" s="4" t="str">
        <x:v>https://github.com/biomap-research/PFMBench</x:v>
      </x:c>
      <x:c r="M16" s="4" t="str">
        <x:v>Table 1; PFMBench details sheet</x:v>
      </x:c>
    </x:row>
    <x:row r="17" ht="84" customHeight="1">
      <x:c r="A17" s="14" t="str">
        <x:v>Protein properties, interactions and developability</x:v>
      </x:c>
      <x:c r="B17" s="14" t="str">
        <x:v>PFMBench protein and metal-interaction panel</x:v>
      </x:c>
      <x:c r="C17" s="14" t="str">
        <x:v>Benchmark</x:v>
      </x:c>
      <x:c r="D17" s="14" t="str">
        <x:v>Test sizes: Human_PPI: 195; Yeast_PPI: 335; PPI_Affinity: 326; MetalIonBinding: 718</x:v>
      </x:c>
      <x:c r="E17" s="14" t="str">
        <x:v>Protein sequences/features; partner/context inputs for interaction tasks</x:v>
      </x:c>
      <x:c r="F17" s="14" t="str">
        <x:v>Source annotations/measurements; structure tasks use structural labels</x:v>
      </x:c>
      <x:c r="G17" s="14" t="str">
        <x:v>Supervised ESM2-Adapter, three-run mean</x:v>
      </x:c>
      <x:c r="H17" s="14" t="str">
        <x:v>These are PFMBench-specific processed datasets/splits, not interchangeable with PEER/ProtST results. F1 is not Fmax. Affinity-named AUROC tasks are classification, not KD regression. Exact loaders required.</x:v>
      </x:c>
      <x:c r="I17" s="14" t="str">
        <x:v>New primary-source review</x:v>
      </x:c>
      <x:c r="J17" s="14" t="str">
        <x:v>Primary source checked; payload not downloaded</x:v>
      </x:c>
      <x:c r="K17" s="14" t="str">
        <x:v>https://arxiv.org/html/2506.14796v1</x:v>
      </x:c>
      <x:c r="L17" s="14" t="str">
        <x:v>https://github.com/biomap-research/PFMBench</x:v>
      </x:c>
      <x:c r="M17" s="14" t="str">
        <x:v>Table 1; PFMBench details sheet</x:v>
      </x:c>
    </x:row>
    <x:row r="18" ht="84" customHeight="1">
      <x:c r="A18" s="4" t="str">
        <x:v>Protein properties, interactions and developability</x:v>
      </x:c>
      <x:c r="B18" s="4" t="str">
        <x:v>PFMBench production and enzyme-operating panel</x:v>
      </x:c>
      <x:c r="C18" s="4" t="str">
        <x:v>Benchmark</x:v>
      </x:c>
      <x:c r="D18" s="4" t="str">
        <x:v>Test sizes: Optimal_pH: 959; DeepET_Topt: 185; Cloning_CLF: 2,778; Material_Production: 2,775; Enzyme_Eff.: 1,290; Antib._Res.: 339; Thermostability: 4,184</x:v>
      </x:c>
      <x:c r="E18" s="4" t="str">
        <x:v>Protein sequences/features; partner/context inputs for interaction tasks</x:v>
      </x:c>
      <x:c r="F18" s="4" t="str">
        <x:v>Source annotations/measurements; structure tasks use structural labels</x:v>
      </x:c>
      <x:c r="G18" s="4" t="str">
        <x:v>Supervised ESM2-Adapter, three-run mean</x:v>
      </x:c>
      <x:c r="H18" s="4" t="str">
        <x:v>These are PFMBench-specific processed datasets/splits, not interchangeable with PEER/ProtST results. F1 is not Fmax. Affinity-named AUROC tasks are classification, not KD regression. Exact loaders required.</x:v>
      </x:c>
      <x:c r="I18" s="4" t="str">
        <x:v>New primary-source review</x:v>
      </x:c>
      <x:c r="J18" s="4" t="str">
        <x:v>Primary source checked; payload not downloaded</x:v>
      </x:c>
      <x:c r="K18" s="4" t="str">
        <x:v>https://arxiv.org/html/2506.14796v1</x:v>
      </x:c>
      <x:c r="L18" s="4" t="str">
        <x:v>https://github.com/biomap-research/PFMBench</x:v>
      </x:c>
      <x:c r="M18" s="4" t="str">
        <x:v>Table 1; PFMBench details sheet</x:v>
      </x:c>
    </x:row>
    <x:row r="19" ht="56" customHeight="1">
      <x:c r="A19" s="14" t="str">
        <x:v>Protein function, annotations and descriptions</x:v>
      </x:c>
      <x:c r="B19" s="14" t="str">
        <x:v>DeepFRI-derived EC and GO test splits</x:v>
      </x:c>
      <x:c r="C19" s="14" t="str">
        <x:v>Benchmark</x:v>
      </x:c>
      <x:c r="D19" s="14" t="str">
        <x:v>ProtST's 95%-identity split setting.
Exact processed test counts not recovered here.</x:v>
      </x:c>
      <x:c r="E19" s="14" t="str">
        <x:v>Protein sequence</x:v>
      </x:c>
      <x:c r="F19" s="14" t="str">
        <x:v>Curated enzyme-function annotations; Ontology-linked curated annotations</x:v>
      </x:c>
      <x:c r="G19" s="14" t="str">
        <x:v>Paper-specific; see source qualifications</x:v>
      </x:c>
      <x:c r="H19" s="14" t="str">
        <x:v>Full-model supervised tuning. Keep ontology branches separate. This is annotation recovery, not verification of every rationale.</x:v>
      </x:c>
      <x:c r="I19" s="14" t="str">
        <x:v>Carried forward from 14 Oct 2026 source-linked workbook; not independently rerun</x:v>
      </x:c>
      <x:c r="J19" s="14" t="str">
        <x:v>Source/catalog verified previously; raw benchmark not bundled</x:v>
      </x:c>
      <x:c r="K19" s="14" t="str">
        <x:v>https://proceedings.mlr.press/v202/xu23t/xu23t.pdf</x:v>
      </x:c>
      <x:c r="L19" s="14" t="str">
        <x:v>https://github.com/DeepGraphLearning/ProtST</x:v>
      </x:c>
      <x:c r="M19" s="14" t="str">
        <x:v>ProtST Table 3; §4.2.1</x:v>
      </x:c>
    </x:row>
    <x:row r="20" ht="70" customHeight="1">
      <x:c r="A20" s="4" t="str">
        <x:v>Protein function, annotations and descriptions</x:v>
      </x:c>
      <x:c r="B20" s="4" t="str">
        <x:v>Mol-Instructions — four protein-description subsets</x:v>
      </x:c>
      <x:c r="C20" s="4" t="str">
        <x:v>Benchmark</x:v>
      </x:c>
      <x:c r="D20" s="4" t="str">
        <x:v>Original Mol-Instructions paper: approximately 1,000 test examples per task; exact released counts not recomputed.</x:v>
      </x:c>
      <x:c r="E20" s="4" t="str">
        <x:v>Full protein sequence and instruction</x:v>
      </x:c>
      <x:c r="F20" s="4" t="str">
        <x:v>Reference descriptions/annotations in Mol-Instructions</x:v>
      </x:c>
      <x:c r="G20" s="4" t="str">
        <x:v>Paper-specific; see source qualifications</x:v>
      </x:c>
      <x:c r="H20" s="4" t="str">
        <x:v>NEW source result: these are Mol-Instructions' own numbers, NOT BioT5+. BioT5+'s Figure 2 reports its comparisons, but exact plotted values were not transcribed.</x:v>
      </x:c>
      <x:c r="I20" s="4" t="str">
        <x:v>Carried forward from 14 Oct 2026 source-linked workbook; not independently rerun</x:v>
      </x:c>
      <x:c r="J20" s="4" t="str">
        <x:v>Source/catalog verified previously; raw benchmark not bundled</x:v>
      </x:c>
      <x:c r="K20" s="4" t="str">
        <x:v>https://arxiv.org/html/2306.08018v4
https://raw.githubusercontent.com/zjunlp/Mol-Instructions/main/README.md
https://arxiv.org/html/2402.17810v2</x:v>
      </x:c>
      <x:c r="L20" s="4" t="str">
        <x:v>https://github.com/zjunlp/Mol-Instructions</x:v>
      </x:c>
      <x:c r="M20" s="4" t="str">
        <x:v>Mol-Instructions Appendix D; official README 'Protein Understanding'; BioT5+ Figure 2</x:v>
      </x:c>
    </x:row>
    <x:row r="21" ht="56" customHeight="1">
      <x:c r="A21" s="14" t="str">
        <x:v>Protein function, annotations and descriptions</x:v>
      </x:c>
      <x:c r="B21" s="14" t="str">
        <x:v>NatureLM's NCBI protein-description holdout</x:v>
      </x:c>
      <x:c r="C21" s="14" t="str">
        <x:v>Benchmark</x:v>
      </x:c>
      <x:c r="D21" s="14" t="str">
        <x:v>Temporal split; exact test count and frozen processed release not recovered.</x:v>
      </x:c>
      <x:c r="E21" s="14" t="str">
        <x:v>Protein sequence</x:v>
      </x:c>
      <x:c r="F21" s="14" t="str">
        <x:v>NCBI-derived reference descriptions</x:v>
      </x:c>
      <x:c r="G21" s="14" t="str">
        <x:v>Paper-specific; see source qualifications</x:v>
      </x:c>
      <x:c r="H21" s="14" t="str">
        <x:v>This is a paper-specific NCBI-derived set, not all NCBI data. Different task-training regimes; text-overlap evaluation.</x:v>
      </x:c>
      <x:c r="I21" s="14" t="str">
        <x:v>Carried forward from 14 Oct 2026 source-linked workbook; not independently rerun</x:v>
      </x:c>
      <x:c r="J21" s="14" t="str">
        <x:v>Source/catalog verified previously; raw benchmark not bundled</x:v>
      </x:c>
      <x:c r="K21" s="14" t="str">
        <x:v>https://arxiv.org/html/2502.07527v3</x:v>
      </x:c>
      <x:c r="L21" s="14" t="str">
        <x:v>https://github.com/microsoft/SFM</x:v>
      </x:c>
      <x:c r="M21" s="14" t="str">
        <x:v>NatureLM §4.4, Table 11</x:v>
      </x:c>
    </x:row>
    <x:row r="22" ht="70" customHeight="1">
      <x:c r="A22" s="4" t="str">
        <x:v>Protein function, annotations and descriptions</x:v>
      </x:c>
      <x:c r="B22" s="4" t="str">
        <x:v>BioReason-Pro temporal GO test</x:v>
      </x:c>
      <x:c r="C22" s="4" t="str">
        <x:v>Benchmark</x:v>
      </x:c>
      <x:c r="D22" s="4" t="str">
        <x:v>Released test: 8,630 proteins.</x:v>
      </x:c>
      <x:c r="E22" s="4" t="str">
        <x:v>Protein representations and the context permitted by the released evaluator</x:v>
      </x:c>
      <x:c r="F22" s="4" t="str">
        <x:v>New curated target-aspect annotations</x:v>
      </x:c>
      <x:c r="G22" s="4" t="str">
        <x:v>Paper-specific; see source qualifications</x:v>
      </x:c>
      <x:c r="H22" s="4" t="str">
        <x:v>Headline aggregation; exact BP/MF/CC definition must come from official evaluator. Not interchangeable with species-held-out evaluation.</x:v>
      </x:c>
      <x:c r="I22" s="4" t="str">
        <x:v>Carried forward from 14 Oct 2026 source-linked workbook; not independently rerun</x:v>
      </x:c>
      <x:c r="J22" s="4" t="str">
        <x:v>Source/catalog verified previously; raw benchmark not bundled</x:v>
      </x:c>
      <x:c r="K22" s="4" t="str">
        <x:v>https://huggingface.co/datasets/wanglab/bioreason-pro-test-data
https://raw.githubusercontent.com/bowang-lab/BioReason-Pro/main/README.md</x:v>
      </x:c>
      <x:c r="L22" s="4" t="str">
        <x:v>https://huggingface.co/datasets/wanglab/bioreason-pro-test-data</x:v>
      </x:c>
      <x:c r="M22" s="4" t="str">
        <x:v>Dataset viewer row count; repository abstract and evaluation guide</x:v>
      </x:c>
    </x:row>
    <x:row r="23" ht="56" customHeight="1">
      <x:c r="A23" s="14" t="str">
        <x:v>Protein function, annotations and descriptions</x:v>
      </x:c>
      <x:c r="B23" s="14" t="str">
        <x:v>ProtST reaction classification — zero/few-shot</x:v>
      </x:c>
      <x:c r="C23" s="14" t="str">
        <x:v>Benchmark</x:v>
      </x:c>
      <x:c r="D23" s="14" t="str">
        <x:v>ProtST zero-shot/few-shot experiment; shots and ensemble settings must be recorded.</x:v>
      </x:c>
      <x:c r="E23" s="14" t="str">
        <x:v>Protein sequence plus reaction-label descriptions</x:v>
      </x:c>
      <x:c r="F23" s="14" t="str">
        <x:v>Existing reaction-category labels</x:v>
      </x:c>
      <x:c r="G23" s="14" t="str">
        <x:v>Source-specific; not a zero-shot/API claim</x:v>
      </x:c>
      <x:c r="H23" s="14" t="str">
        <x:v>Zero-shot text-label matching is not the same protocol as fitting a fully supervised classifier.</x:v>
      </x:c>
      <x:c r="I23" s="14" t="str">
        <x:v>Original 64-setting catalog; published scores carried forward</x:v>
      </x:c>
      <x:c r="J23" s="14" t="str">
        <x:v>Carried-forward access state; exact loader/scorer still needs verification</x:v>
      </x:c>
      <x:c r="K23" s="14" t="str">
        <x:v>https://proceedings.mlr.press/v202/xu23t/xu23t.pdf</x:v>
      </x:c>
      <x:c r="L23" s="14" t="str">
        <x:v>https://github.com/DeepGraphLearning/ProtST</x:v>
      </x:c>
      <x:c r="M23" s="14" t="str">
        <x:v>Zero-shot experiments / Table 4</x:v>
      </x:c>
    </x:row>
    <x:row r="24" ht="70" customHeight="1">
      <x:c r="A24" s="4" t="str">
        <x:v>Protein function, annotations and descriptions</x:v>
      </x:c>
      <x:c r="B24" s="4" t="str">
        <x:v>Bio-posttrain species-held-out protein GO</x:v>
      </x:c>
      <x:c r="C24" s="4" t="str">
        <x:v>Paper-specific holdout</x:v>
      </x:c>
      <x:c r="D24" s="4" t="str">
        <x:v>Two held-out species in the paper; exact species/counts not established in this review. Also discusses inherited temporal protocol.</x:v>
      </x:c>
      <x:c r="E24" s="4" t="str">
        <x:v>Protein inputs and permitted contextual annotations</x:v>
      </x:c>
      <x:c r="F24" s="4" t="str">
        <x:v>Reference GO annotations</x:v>
      </x:c>
      <x:c r="G24" s="4" t="str">
        <x:v>Source-specific; not a zero-shot/API claim</x:v>
      </x:c>
      <x:c r="H24" s="4" t="str">
        <x:v>Do not substitute the original BioReason-Pro 8,630-protein split or its Fmax scorer without documenting the change.</x:v>
      </x:c>
      <x:c r="I24" s="4" t="str">
        <x:v>Original 64-setting catalog; published scores carried forward</x:v>
      </x:c>
      <x:c r="J24" s="4" t="str">
        <x:v>Carried-forward access state; exact loader/scorer still needs verification</x:v>
      </x:c>
      <x:c r="K24" s="4" t="str">
        <x:v>https://arxiv.org/html/2606.16517v1</x:v>
      </x:c>
      <x:c r="L24" s="4" t="str">
        <x:v>https://github.com/mims-harvard/bio-posttrain</x:v>
      </x:c>
      <x:c r="M24" s="4" t="str">
        <x:v>Protein experiments; Appendix A.3</x:v>
      </x:c>
    </x:row>
    <x:row r="25" ht="84" customHeight="1">
      <x:c r="A25" s="14" t="str">
        <x:v>Protein function, annotations and descriptions</x:v>
      </x:c>
      <x:c r="B25" s="14" t="str">
        <x:v>PFMBench GO/EC annotation panel</x:v>
      </x:c>
      <x:c r="C25" s="14" t="str">
        <x:v>Benchmark</x:v>
      </x:c>
      <x:c r="D25" s="14" t="str">
        <x:v>Test sizes: GO-CC: 1,400; GO-MF: 2,787; GO-BP: 2,664; EC: 1,604</x:v>
      </x:c>
      <x:c r="E25" s="14" t="str">
        <x:v>Protein sequences/features; partner/context inputs for interaction tasks</x:v>
      </x:c>
      <x:c r="F25" s="14" t="str">
        <x:v>Source annotations/measurements; structure tasks use structural labels</x:v>
      </x:c>
      <x:c r="G25" s="14" t="str">
        <x:v>Supervised ESM2-Adapter, three-run mean</x:v>
      </x:c>
      <x:c r="H25" s="14" t="str">
        <x:v>These are PFMBench-specific processed datasets/splits, not interchangeable with PEER/ProtST results. F1 is not Fmax. Affinity-named AUROC tasks are classification, not KD regression. Exact loaders required.</x:v>
      </x:c>
      <x:c r="I25" s="14" t="str">
        <x:v>New primary-source review</x:v>
      </x:c>
      <x:c r="J25" s="14" t="str">
        <x:v>Primary source checked; payload not downloaded</x:v>
      </x:c>
      <x:c r="K25" s="14" t="str">
        <x:v>https://arxiv.org/html/2506.14796v1</x:v>
      </x:c>
      <x:c r="L25" s="14" t="str">
        <x:v>https://github.com/biomap-research/PFMBench</x:v>
      </x:c>
      <x:c r="M25" s="14" t="str">
        <x:v>Table 1; PFMBench details sheet</x:v>
      </x:c>
    </x:row>
    <x:row r="26" ht="70" customHeight="1">
      <x:c r="A26" s="4" t="str">
        <x:v>Mutation-effect interpretation</x:v>
      </x:c>
      <x:c r="B26" s="4" t="str">
        <x:v>MutaDescribe — mutation explanation</x:v>
      </x:c>
      <x:c r="C26" s="4" t="str">
        <x:v>Benchmark</x:v>
      </x:c>
      <x:c r="D26" s="4" t="str">
        <x:v>Main test: Easy 460; Medium 384; Hard 404 mutation examples.
Separate temporal test: 1,611 (not the reported main averages).</x:v>
      </x:c>
      <x:c r="E26" s="4" t="str">
        <x:v>Reference and mutant sequences/change, plus model-specific protein context</x:v>
      </x:c>
      <x:c r="F26" s="4" t="str">
        <x:v>Expert-source annotations, publication-enriched descriptions; synthetic reversals present in corpus</x:v>
      </x:c>
      <x:c r="G26" s="4" t="str">
        <x:v>Paper-specific; see source qualifications</x:v>
      </x:c>
      <x:c r="H26" s="4" t="str">
        <x:v>The reported 'Average' is retained as the paper defines it. Similarity tiers are not a globally homology-disjoint split.</x:v>
      </x:c>
      <x:c r="I26" s="4" t="str">
        <x:v>Carried forward from 14 Oct 2026 source-linked workbook; not independently rerun</x:v>
      </x:c>
      <x:c r="J26" s="4" t="str">
        <x:v>Source/catalog verified previously; raw benchmark not bundled</x:v>
      </x:c>
      <x:c r="K26" s="4" t="str">
        <x:v>https://arxiv.org/html/2410.22949v1</x:v>
      </x:c>
      <x:c r="L26" s="4" t="str">
        <x:v>https://huggingface.co/datasets/PharMolix/MutaDescribe</x:v>
      </x:c>
      <x:c r="M26" s="4" t="str">
        <x:v>Tables 1–2; Appendix B.2 and Table A4</x:v>
      </x:c>
    </x:row>
    <x:row r="27" ht="70" customHeight="1">
      <x:c r="A27" s="14" t="str">
        <x:v>Mutation ranking, affinity and local optimization</x:v>
      </x:c>
      <x:c r="B27" s="14" t="str">
        <x:v>ProteinGym substitutions — historical ProtST evaluation</x:v>
      </x:c>
      <x:c r="C27" s="14" t="str">
        <x:v>Benchmark</x:v>
      </x:c>
      <x:c r="D27" s="14" t="str">
        <x:v>Use the historical ProteinGym snapshot in ProtST.
Do not attach the modern 217-assay count to these old results.</x:v>
      </x:c>
      <x:c r="E27" s="14" t="str">
        <x:v>Reference and variant sequences; optional structure/MSA only if the protocol allows</x:v>
      </x:c>
      <x:c r="F27" s="14" t="str">
        <x:v>Measured DMS assay scores</x:v>
      </x:c>
      <x:c r="G27" s="14" t="str">
        <x:v>Paper-specific; see source qualifications</x:v>
      </x:c>
      <x:c r="H27" s="14" t="str">
        <x:v>NEW verified numeric row from ProtST Table 12. Not a current ProteinGym leaderboard result.</x:v>
      </x:c>
      <x:c r="I27" s="14" t="str">
        <x:v>Carried forward from 14 Oct 2026 source-linked workbook; not independently rerun</x:v>
      </x:c>
      <x:c r="J27" s="14" t="str">
        <x:v>Source/catalog verified previously; raw benchmark not bundled</x:v>
      </x:c>
      <x:c r="K27" s="14" t="str">
        <x:v>https://proceedings.mlr.press/v202/xu23t/xu23t.pdf
https://github.com/OATML-Markslab/ProteinGym</x:v>
      </x:c>
      <x:c r="L27" s="14" t="str">
        <x:v>https://github.com/OATML-Markslab/ProteinGym</x:v>
      </x:c>
      <x:c r="M27" s="14" t="str">
        <x:v>ProtST Appendix C.1, Table 12</x:v>
      </x:c>
    </x:row>
    <x:row r="28" ht="56" customHeight="1">
      <x:c r="A28" s="4" t="str">
        <x:v>Mutation ranking, affinity and local optimization</x:v>
      </x:c>
      <x:c r="B28" s="4" t="str">
        <x:v>PG-LLM / ProteinGym-LLM — eval-data-v1.2</x:v>
      </x:c>
      <x:c r="C28" s="4" t="str">
        <x:v>Benchmark</x:v>
      </x:c>
      <x:c r="D28" s="4" t="str">
        <x:v>217 assays; sets of 10, 50 or 100 variants; three seeds.</x:v>
      </x:c>
      <x:c r="E28" s="4" t="str">
        <x:v>Full reference sequence, assay description, shuffled candidate sequences</x:v>
      </x:c>
      <x:c r="F28" s="4" t="str">
        <x:v>Held-out experimental scores</x:v>
      </x:c>
      <x:c r="G28" s="4" t="str">
        <x:v>Paper-specific; see source qualifications</x:v>
      </x:c>
      <x:c r="H28" s="4" t="str">
        <x:v>Evaluation-only frozen protocol. Benchmark-specific training, tuning and retrieval augmentation are restricted by its documentation.</x:v>
      </x:c>
      <x:c r="I28" s="4" t="str">
        <x:v>Carried forward from 14 Oct 2026 source-linked workbook; not independently rerun</x:v>
      </x:c>
      <x:c r="J28" s="4" t="str">
        <x:v>Source/catalog verified previously; raw benchmark not bundled</x:v>
      </x:c>
      <x:c r="K28" s="4" t="str">
        <x:v>https://raw.githubusercontent.com/rohitarorayyc/proteingym-llm/main/DATA.md</x:v>
      </x:c>
      <x:c r="L28" s="4" t="str">
        <x:v>https://github.com/rohitarorayyc/proteingym-llm/blob/main/DATA.md</x:v>
      </x:c>
      <x:c r="M28" s="4" t="str">
        <x:v>DATA.md</x:v>
      </x:c>
    </x:row>
    <x:row r="29" ht="112" customHeight="1">
      <x:c r="A29" s="14" t="str">
        <x:v>Mutation ranking, affinity and local optimization</x:v>
      </x:c>
      <x:c r="B29" s="14" t="str">
        <x:v>PFArena — four task settings</x:v>
      </x:c>
      <x:c r="C29" s="14" t="str">
        <x:v>Benchmark</x:v>
      </x:c>
      <x:c r="D29" s="14" t="str">
        <x:v>T1: 123 assays / 594,695 measured singles.
T2: 74 assays / 6,288 candidates.
T3: 67 assays / 3,648 candidates.
T4: 29 assays / 2,638 candidates.</x:v>
      </x:c>
      <x:c r="E29" s="14" t="str">
        <x:v>Reference protein + objective; no target-specific mutant measurements; Reference + objective + candidate combinations; no target-specific measured labels; A measured anchor mutant + strictly extending candidate combinations; Component single-mutant measurements + candidate multi-mutants</x:v>
      </x:c>
      <x:c r="F29" s="14" t="str">
        <x:v>Existing experimental mutation measurements</x:v>
      </x:c>
      <x:c r="G29" s="14" t="str">
        <x:v>Paper-specific; see source qualifications</x:v>
      </x:c>
      <x:c r="H29" s="14" t="str">
        <x:v>Different assay subsets, not a paired context ablation. Reported aggregates include deterministic random fallback on missing outputs (§10.1/Table 12). Model labels are the paper's, not verified API IDs. Exact public bundle not yet established; retained paper model labels are not executable API identifiers.</x:v>
      </x:c>
      <x:c r="I29" s="14" t="str">
        <x:v>Carried forward from 14 Oct 2026 source-linked workbook; not independently rerun</x:v>
      </x:c>
      <x:c r="J29" s="14" t="str">
        <x:v>Paper-defined tasks; exact frozen benchmark bundle unresolved</x:v>
      </x:c>
      <x:c r="K29" s="14" t="str">
        <x:v>https://arxiv.org/html/2609.28921v1</x:v>
      </x:c>
      <x:c r="L29" s="14" t="str">
        <x:v>https://arxiv.org/html/2609.28921v1</x:v>
      </x:c>
      <x:c r="M29" s="14" t="str">
        <x:v>Task specifications; Tables 6–9; §10.1/Table 12</x:v>
      </x:c>
    </x:row>
    <x:row r="30" ht="56" customHeight="1">
      <x:c r="A30" s="4" t="str">
        <x:v>Mutation ranking, affinity and local optimization</x:v>
      </x:c>
      <x:c r="B30" s="4" t="str">
        <x:v>MutaDescribe — mutation engineering</x:v>
      </x:c>
      <x:c r="C30" s="4" t="str">
        <x:v>Benchmark</x:v>
      </x:c>
      <x:c r="D30" s="4" t="str">
        <x:v>Same main Easy/Medium/Hard split as explanation: 460 / 384 / 404 examples.</x:v>
      </x:c>
      <x:c r="E30" s="4" t="str">
        <x:v>Protein, desired effect, correct mutation position; Protein and desired effect</x:v>
      </x:c>
      <x:c r="F30" s="4" t="str">
        <x:v>Annotated reference mutation</x:v>
      </x:c>
      <x:c r="G30" s="4" t="str">
        <x:v>Paper-specific; see source qualifications</x:v>
      </x:c>
      <x:c r="H30" s="4" t="str">
        <x:v>Same source dataset, different task. These are reference-recovery rates, not prospective wet-lab success.</x:v>
      </x:c>
      <x:c r="I30" s="4" t="str">
        <x:v>Carried forward from 14 Oct 2026 source-linked workbook; not independently rerun</x:v>
      </x:c>
      <x:c r="J30" s="4" t="str">
        <x:v>Source/catalog verified previously; raw benchmark not bundled</x:v>
      </x:c>
      <x:c r="K30" s="4" t="str">
        <x:v>https://arxiv.org/html/2410.22949v1</x:v>
      </x:c>
      <x:c r="L30" s="4" t="str">
        <x:v>https://huggingface.co/datasets/PharMolix/MutaDescribe</x:v>
      </x:c>
      <x:c r="M30" s="4" t="str">
        <x:v>Table 3</x:v>
      </x:c>
    </x:row>
    <x:row r="31" ht="56" customHeight="1">
      <x:c r="A31" s="14" t="str">
        <x:v>Mutation ranking, affinity and local optimization</x:v>
      </x:c>
      <x:c r="B31" s="14" t="str">
        <x:v>MutaPLM low-data fitness regression</x:v>
      </x:c>
      <x:c r="C31" s="14" t="str">
        <x:v>Benchmark</x:v>
      </x:c>
      <x:c r="D31" s="14" t="str">
        <x:v>192 training + 48 validation examples; five seeds; assay-specific remaining test records</x:v>
      </x:c>
      <x:c r="E31" s="14" t="str">
        <x:v>Variant representations; a separately fitted regression head</x:v>
      </x:c>
      <x:c r="F31" s="14" t="str">
        <x:v>Experimental Spike–ACE2 and avGFP measurements</x:v>
      </x:c>
      <x:c r="G31" s="14" t="str">
        <x:v>Source-specific; not a zero-shot/API claim</x:v>
      </x:c>
      <x:c r="H31" s="14" t="str">
        <x:v>This is supervised low-N prediction, not zero-shot generation. Do not reuse the labeled seed points as test examples.</x:v>
      </x:c>
      <x:c r="I31" s="14" t="str">
        <x:v>Original 64-setting catalog; published scores carried forward</x:v>
      </x:c>
      <x:c r="J31" s="14" t="str">
        <x:v>Carried-forward access state; exact loader/scorer still needs verification</x:v>
      </x:c>
      <x:c r="K31" s="14" t="str">
        <x:v>https://arxiv.org/html/2410.22949v1</x:v>
      </x:c>
      <x:c r="L31" s="14" t="str">
        <x:v>https://github.com/PharMolix/MutaPLM</x:v>
      </x:c>
      <x:c r="M31" s="14" t="str">
        <x:v>Appendix D.2</x:v>
      </x:c>
    </x:row>
    <x:row r="32" ht="84" customHeight="1">
      <x:c r="A32" s="4" t="str">
        <x:v>Mutation ranking, affinity and local optimization</x:v>
      </x:c>
      <x:c r="B32" s="4" t="str">
        <x:v>AbBiBench antibody affinity ranking</x:v>
      </x:c>
      <x:c r="C32" s="4" t="str">
        <x:v>Benchmark</x:v>
      </x:c>
      <x:c r="D32" s="4" t="str">
        <x:v>Paper: 155,853 heavy-chain variants, 9 antigens (Section 3.1 lists 11 datasets). Current repository leaderboard: 16 assay columns; expanded payload count not established.</x:v>
      </x:c>
      <x:c r="E32" s="4" t="str">
        <x:v>Antibody/target sequences and permitted structural context; varies by model</x:v>
      </x:c>
      <x:c r="F32" s="4" t="str">
        <x:v>Experimental affinity</x:v>
      </x:c>
      <x:c r="G32" s="4" t="str">
        <x:v>Model-specific scoring, not matched training resources</x:v>
      </x:c>
      <x:c r="H32" s="4" t="str">
        <x:v>Paper size and current leaderboard refer to different snapshots. Do not combine them into a single size-matched result. Generative case study is separate.</x:v>
      </x:c>
      <x:c r="I32" s="4" t="str">
        <x:v>New primary-source review</x:v>
      </x:c>
      <x:c r="J32" s="4" t="str">
        <x:v>Primary source checked; payload not downloaded</x:v>
      </x:c>
      <x:c r="K32" s="4" t="str">
        <x:v>https://github.com/MSBMI-SAFE/AbBiBench
https://arxiv.org/html/2506.04235v1</x:v>
      </x:c>
      <x:c r="L32" s="4" t="str">
        <x:v>https://huggingface.co/datasets/AbBibench/Antibody_Binding_Benchmark_Dataset</x:v>
      </x:c>
      <x:c r="M32" s="4" t="str">
        <x:v>Repository leaderboard; paper abstract and §3.1</x:v>
      </x:c>
    </x:row>
    <x:row r="33" ht="56" customHeight="1">
      <x:c r="A33" s="14" t="str">
        <x:v>Mutation ranking, affinity and local optimization</x:v>
      </x:c>
      <x:c r="B33" s="14" t="str">
        <x:v>ATOM3D SKEMPI-derived mutation affinity (MSP)</x:v>
      </x:c>
      <x:c r="C33" s="14" t="str">
        <x:v>Benchmark</x:v>
      </x:c>
      <x:c r="D33" s="14" t="str">
        <x:v>Source construction: 893 positive and 3,255 negative mutations; exact test size not recovered.</x:v>
      </x:c>
      <x:c r="E33" s="14" t="str">
        <x:v>Wild-type/mutant structural context</x:v>
      </x:c>
      <x:c r="F33" s="14" t="str">
        <x:v>Experimental mutation affinity measurements</x:v>
      </x:c>
      <x:c r="G33" s="14" t="str">
        <x:v>Supervised; preserve sequence-based split</x:v>
      </x:c>
      <x:c r="H33" s="14" t="str">
        <x:v>This is binding-affinity change classification, not folding-stability prediction. Source counts are not test counts.</x:v>
      </x:c>
      <x:c r="I33" s="14" t="str">
        <x:v>New primary-source review</x:v>
      </x:c>
      <x:c r="J33" s="14" t="str">
        <x:v>Primary source checked; payload not downloaded</x:v>
      </x:c>
      <x:c r="K33" s="14" t="str">
        <x:v>https://arxiv.org/html/2012.04035v3</x:v>
      </x:c>
      <x:c r="L33" s="14" t="str">
        <x:v>https://www.atom3d.ai/msp.html</x:v>
      </x:c>
      <x:c r="M33" s="14" t="str">
        <x:v>MSP definition; Table 4</x:v>
      </x:c>
    </x:row>
    <x:row r="34" ht="84" customHeight="1">
      <x:c r="A34" s="4" t="str">
        <x:v>Mutation ranking, affinity and local optimization</x:v>
      </x:c>
      <x:c r="B34" s="4" t="str">
        <x:v>PFMBench mutation/fitness panel</x:v>
      </x:c>
      <x:c r="C34" s="4" t="str">
        <x:v>Benchmark</x:v>
      </x:c>
      <x:c r="D34" s="4" t="str">
        <x:v>Test sizes: PETA_CHS_SOL: 484; PETA_LGK_SOL: 1,914; PETA_TEM_SOL: 808; FLIP_AAV: 16,517; FLIP_GB1: 1,745; TAPE_Stab: 6,898; TAPE_Fluor: 27,217; BetaLactamase: 520</x:v>
      </x:c>
      <x:c r="E34" s="4" t="str">
        <x:v>Protein sequences/features; partner/context inputs for interaction tasks</x:v>
      </x:c>
      <x:c r="F34" s="4" t="str">
        <x:v>Source annotations/measurements; structure tasks use structural labels</x:v>
      </x:c>
      <x:c r="G34" s="4" t="str">
        <x:v>Supervised ESM2-Adapter, three-run mean</x:v>
      </x:c>
      <x:c r="H34" s="4" t="str">
        <x:v>These are PFMBench-specific processed datasets/splits, not interchangeable with PEER/ProtST results. F1 is not Fmax. Affinity-named AUROC tasks are classification, not KD regression. Exact loaders required.</x:v>
      </x:c>
      <x:c r="I34" s="4" t="str">
        <x:v>New primary-source review</x:v>
      </x:c>
      <x:c r="J34" s="4" t="str">
        <x:v>Primary source checked; payload not downloaded</x:v>
      </x:c>
      <x:c r="K34" s="4" t="str">
        <x:v>https://arxiv.org/html/2506.14796v1</x:v>
      </x:c>
      <x:c r="L34" s="4" t="str">
        <x:v>https://github.com/biomap-research/PFMBench</x:v>
      </x:c>
      <x:c r="M34" s="4" t="str">
        <x:v>Table 1; PFMBench details sheet</x:v>
      </x:c>
    </x:row>
    <x:row r="35" ht="84" customHeight="1">
      <x:c r="A35" s="14" t="str">
        <x:v>Mutation ranking, affinity and local optimization</x:v>
      </x:c>
      <x:c r="B35" s="14" t="str">
        <x:v>PFMBench peptide–MHC and TCR–pMHC panel</x:v>
      </x:c>
      <x:c r="C35" s="14" t="str">
        <x:v>Benchmark</x:v>
      </x:c>
      <x:c r="D35" s="14" t="str">
        <x:v>Test sizes: Pept.HLA/MHC Aff.: 8,406; TCR.PMHC Aff.: 2,482</x:v>
      </x:c>
      <x:c r="E35" s="14" t="str">
        <x:v>Protein sequences/features; partner/context inputs for interaction tasks</x:v>
      </x:c>
      <x:c r="F35" s="14" t="str">
        <x:v>Source annotations/measurements; structure tasks use structural labels</x:v>
      </x:c>
      <x:c r="G35" s="14" t="str">
        <x:v>Supervised ESM2-Adapter, three-run mean</x:v>
      </x:c>
      <x:c r="H35" s="14" t="str">
        <x:v>These are PFMBench-specific processed datasets/splits, not interchangeable with PEER/ProtST results. F1 is not Fmax. Affinity-named AUROC tasks are classification, not KD regression. Exact loaders required.</x:v>
      </x:c>
      <x:c r="I35" s="14" t="str">
        <x:v>New primary-source review</x:v>
      </x:c>
      <x:c r="J35" s="14" t="str">
        <x:v>Primary source checked; payload not downloaded</x:v>
      </x:c>
      <x:c r="K35" s="14" t="str">
        <x:v>https://arxiv.org/html/2506.14796v1</x:v>
      </x:c>
      <x:c r="L35" s="14" t="str">
        <x:v>https://github.com/biomap-research/PFMBench</x:v>
      </x:c>
      <x:c r="M35" s="14" t="str">
        <x:v>Table 1; PFMBench details sheet</x:v>
      </x:c>
    </x:row>
    <x:row r="36" ht="84" customHeight="1">
      <x:c r="A36" s="4" t="str">
        <x:v>Mutation ranking, affinity and local optimization</x:v>
      </x:c>
      <x:c r="B36" s="4" t="str">
        <x:v>PFMBench ProteinGym zero-shot protocol</x:v>
      </x:c>
      <x:c r="C36" s="4" t="str">
        <x:v>Benchmark</x:v>
      </x:c>
      <x:c r="D36" s="4" t="str">
        <x:v>Paper table does not specify the release-matched evaluation denominator.</x:v>
      </x:c>
      <x:c r="E36" s="4" t="str">
        <x:v>Protein sequences/features; partner/context inputs for interaction tasks</x:v>
      </x:c>
      <x:c r="F36" s="4" t="str">
        <x:v>Source annotations/measurements; structure tasks use structural labels</x:v>
      </x:c>
      <x:c r="G36" s="4" t="str">
        <x:v>Zero-shot sequence scoring</x:v>
      </x:c>
      <x:c r="H36" s="4" t="str">
        <x:v>These are PFMBench-specific processed datasets/splits, not interchangeable with PEER/ProtST results. F1 is not Fmax. Affinity-named AUROC tasks are classification, not KD regression. Exact loaders required.</x:v>
      </x:c>
      <x:c r="I36" s="4" t="str">
        <x:v>New primary-source review</x:v>
      </x:c>
      <x:c r="J36" s="4" t="str">
        <x:v>Primary source checked; payload not downloaded</x:v>
      </x:c>
      <x:c r="K36" s="4" t="str">
        <x:v>https://arxiv.org/html/2506.14796v1</x:v>
      </x:c>
      <x:c r="L36" s="4" t="str">
        <x:v>https://github.com/biomap-research/PFMBench</x:v>
      </x:c>
      <x:c r="M36" s="4" t="str">
        <x:v>Table 1; PFMBench details sheet</x:v>
      </x:c>
    </x:row>
    <x:row r="37" ht="154" customHeight="1">
      <x:c r="A37" s="14" t="str">
        <x:v>Scientific evidence and biological knowledge</x:v>
      </x:c>
      <x:c r="B37" s="14" t="str">
        <x:v>LAB-Bench — research tasks</x:v>
      </x:c>
      <x:c r="C37" s="14" t="str">
        <x:v>Benchmark</x:v>
      </x:c>
      <x:c r="D37" s="14" t="str">
        <x:v>Original full evaluation: 2,457 questions.
LitQA2 248; SuppQA 102; FigQA 226; TableQA 305; DbQA 650; ProtocolQA 135; SeqQA 750; Cloning 41.</x:v>
      </x:c>
      <x:c r="E37" s="14" t="str">
        <x:v>Literature question; access to papers depends on evaluation protocol; Database-oriented question; resource access must be stated; Question about supplementary information; supplied/retrieved documents if allowed; Figure and associated question; Table and question; A procedure-related scenario and question; Sequence plus a transformation/analysis question; Scenario and sequence/context information</x:v>
      </x:c>
      <x:c r="F37" s="14" t="str">
        <x:v>Benchmark reference answers curated by task creators</x:v>
      </x:c>
      <x:c r="G37" s="14" t="str">
        <x:v>Paper-specific; see source qualifications</x:v>
      </x:c>
      <x:c r="H37" s="14" t="str">
        <x:v>Original full public+private test; not the public 1,967-question subset. Three-run means. Tool-free models; TableQA and FigQA are images. No new category aggregate invented.</x:v>
      </x:c>
      <x:c r="I37" s="14" t="str">
        <x:v>Carried forward from 14 Oct 2026 source-linked workbook; not independently rerun</x:v>
      </x:c>
      <x:c r="J37" s="14" t="str">
        <x:v>Source/catalog verified previously; raw benchmark not bundled</x:v>
      </x:c>
      <x:c r="K37" s="14" t="str">
        <x:v>https://arxiv.org/html/2407.10362v1</x:v>
      </x:c>
      <x:c r="L37" s="14" t="str">
        <x:v>https://huggingface.co/datasets/futurehouse/lab-bench</x:v>
      </x:c>
      <x:c r="M37" s="14" t="str">
        <x:v>Table 1; Appendix B Table 2; Appendix E Table 6</x:v>
      </x:c>
    </x:row>
    <x:row r="38" ht="42" customHeight="1">
      <x:c r="A38" s="4" t="str">
        <x:v>Scientific evidence and biological knowledge</x:v>
      </x:c>
      <x:c r="B38" s="4" t="str">
        <x:v>ProteinLMBench protein-understanding questions</x:v>
      </x:c>
      <x:c r="C38" s="4" t="str">
        <x:v>Benchmark</x:v>
      </x:c>
      <x:c r="D38" s="4" t="str">
        <x:v>944 manually verified questions; six choices per question.</x:v>
      </x:c>
      <x:c r="E38" s="4" t="str">
        <x:v>Text question + choices</x:v>
      </x:c>
      <x:c r="F38" s="4" t="str">
        <x:v>Expert-verified answer labels</x:v>
      </x:c>
      <x:c r="G38" s="4" t="str">
        <x:v>Paper's trained language-model variants</x:v>
      </x:c>
      <x:c r="H38" s="4" t="str">
        <x:v>Knowledge/test-taking evaluation, not direct novel protein-function prediction.</x:v>
      </x:c>
      <x:c r="I38" s="4" t="str">
        <x:v>New primary-source review</x:v>
      </x:c>
      <x:c r="J38" s="4" t="str">
        <x:v>Primary source checked; payload not downloaded</x:v>
      </x:c>
      <x:c r="K38" s="4" t="str">
        <x:v>https://arxiv.org/html/2406.05540v1</x:v>
      </x:c>
      <x:c r="L38" s="4" t="str">
        <x:v>https://huggingface.co/datasets/tsynbio/ProteinLMBench</x:v>
      </x:c>
      <x:c r="M38" s="4" t="str">
        <x:v>Evaluation experiments §6</x:v>
      </x:c>
    </x:row>
    <x:row r="39" ht="70" customHeight="1">
      <x:c r="A39" s="14" t="str">
        <x:v>Scientific evidence and biological knowledge</x:v>
      </x:c>
      <x:c r="B39" s="14" t="str">
        <x:v>PubMedQA research-abstract questions</x:v>
      </x:c>
      <x:c r="C39" s="14" t="str">
        <x:v>Benchmark</x:v>
      </x:c>
      <x:c r="D39" s="14" t="str">
        <x:v>1,000 expert-labeled records total; official evaluation split must be pinned. 61.2K unlabeled and 211.3K artificial records are separate training resources.</x:v>
      </x:c>
      <x:c r="E39" s="14" t="str">
        <x:v>Question + source abstract</x:v>
      </x:c>
      <x:c r="F39" s="14" t="str">
        <x:v>Expert labels + paper conclusions</x:v>
      </x:c>
      <x:c r="G39" s="14" t="str">
        <x:v>Source-specific training; supplied-evidence QA</x:v>
      </x:c>
      <x:c r="H39" s="14" t="str">
        <x:v>The conclusion/long answer must stay out of solver input under the reasoning-required protocol.</x:v>
      </x:c>
      <x:c r="I39" s="14" t="str">
        <x:v>New primary-source review</x:v>
      </x:c>
      <x:c r="J39" s="14" t="str">
        <x:v>Primary source checked; payload not downloaded</x:v>
      </x:c>
      <x:c r="K39" s="14" t="str">
        <x:v>https://arxiv.org/abs/1909.06146</x:v>
      </x:c>
      <x:c r="L39" s="14" t="str">
        <x:v>https://github.com/pubmedqa/pubmedqa</x:v>
      </x:c>
      <x:c r="M39" s="14" t="str">
        <x:v>Original paper; official site</x:v>
      </x:c>
    </x:row>
    <x:row r="40" ht="70" customHeight="1">
      <x:c r="A40" s="4" t="str">
        <x:v>Protein design</x:v>
      </x:c>
      <x:c r="B40" s="4" t="str">
        <x:v>RAbD — CDR-H3 redesign</x:v>
      </x:c>
      <x:c r="C40" s="4" t="str">
        <x:v>Benchmark</x:v>
      </x:c>
      <x:c r="D40" s="4" t="str">
        <x:v>60 antibody–antigen complexes.</x:v>
      </x:c>
      <x:c r="E40" s="4" t="str">
        <x:v>Antigen, antibody framework, fixed complex context; H3 masked</x:v>
      </x:c>
      <x:c r="F40" s="4" t="str">
        <x:v>Reference antibody–antigen structures/sequences</x:v>
      </x:c>
      <x:c r="G40" s="4" t="str">
        <x:v>Paper-specific; see source qualifications</x:v>
      </x:c>
      <x:c r="H40" s="4" t="str">
        <x:v>Geometry and native-sequence recovery disagree; no dominance claim across all metrics. Not prospective binding success. ProteinBench's 55-complex processed version is separately listed.</x:v>
      </x:c>
      <x:c r="I40" s="4" t="str">
        <x:v>Carried forward from 14 Oct 2026 source-linked workbook; not independently rerun</x:v>
      </x:c>
      <x:c r="J40" s="4" t="str">
        <x:v>Source/catalog verified previously; raw benchmark not bundled</x:v>
      </x:c>
      <x:c r="K40" s="4" t="str">
        <x:v>https://arxiv.org/html/2605.02937v1</x:v>
      </x:c>
      <x:c r="L40" s="4" t="str">
        <x:v>https://arxiv.org/html/2605.02937v1</x:v>
      </x:c>
      <x:c r="M40" s="4" t="str">
        <x:v>Table 2 and §4.2</x:v>
      </x:c>
    </x:row>
    <x:row r="41" ht="56" customHeight="1">
      <x:c r="A41" s="14" t="str">
        <x:v>Protein design</x:v>
      </x:c>
      <x:c r="B41" s="14" t="str">
        <x:v>SAbDab — Proteo-R1 all-CDR holdout</x:v>
      </x:c>
      <x:c r="C41" s="14" t="str">
        <x:v>Paper-specific holdout</x:v>
      </x:c>
      <x:c r="D41" s="14" t="str">
        <x:v>Paper-specific temporal/cluster split; exact processed test count not recovered.</x:v>
      </x:c>
      <x:c r="E41" s="14" t="str">
        <x:v>Antigen/framework/docking context with CDR sequence/geometry masked</x:v>
      </x:c>
      <x:c r="F41" s="14" t="str">
        <x:v>Held-out SAbDab complexes</x:v>
      </x:c>
      <x:c r="G41" s="14" t="str">
        <x:v>Paper-specific; see source qualifications</x:v>
      </x:c>
      <x:c r="H41" s="14" t="str">
        <x:v>One dataset, multiple metrics. H3 RMSD and Loop-RMSD are different columns. Oracle-Anchor row is not the deployed system.</x:v>
      </x:c>
      <x:c r="I41" s="14" t="str">
        <x:v>Carried forward from 14 Oct 2026 source-linked workbook; not independently rerun</x:v>
      </x:c>
      <x:c r="J41" s="14" t="str">
        <x:v>Paper protocol known; processed test manifest not recovered</x:v>
      </x:c>
      <x:c r="K41" s="14" t="str">
        <x:v>https://arxiv.org/html/2605.02937v1</x:v>
      </x:c>
      <x:c r="L41" s="14" t="str">
        <x:v>https://arxiv.org/html/2605.02937v1</x:v>
      </x:c>
      <x:c r="M41" s="14" t="str">
        <x:v>Table 1; §4.1</x:v>
      </x:c>
    </x:row>
    <x:row r="42" ht="70" customHeight="1">
      <x:c r="A42" s="4" t="str">
        <x:v>Protein design</x:v>
      </x:c>
      <x:c r="B42" s="4" t="str">
        <x:v>CATH 4.2 / TS50 / TS500 inverse folding</x:v>
      </x:c>
      <x:c r="C42" s="4" t="str">
        <x:v>Benchmark</x:v>
      </x:c>
      <x:c r="D42" s="4" t="str">
        <x:v>CATH 4.2 exact test count not re-established; TS50/TS500 named test suites (50/500 nominal structures; exact retained manifests must be checked).</x:v>
      </x:c>
      <x:c r="E42" s="4" t="str">
        <x:v>Backbone coordinates → sequence</x:v>
      </x:c>
      <x:c r="F42" s="4" t="str">
        <x:v>Reference sequences and structures</x:v>
      </x:c>
      <x:c r="G42" s="4" t="str">
        <x:v>Trained inverse-folding model</x:v>
      </x:c>
      <x:c r="H42" s="4" t="str">
        <x:v>Recovery is not experimental fold/function validation; named size does not replace retained-record manifest.</x:v>
      </x:c>
      <x:c r="I42" s="4" t="str">
        <x:v>New primary-source review</x:v>
      </x:c>
      <x:c r="J42" s="4" t="str">
        <x:v>Primary source checked; payload not downloaded</x:v>
      </x:c>
      <x:c r="K42" s="4" t="str">
        <x:v>https://github.com/a4bio/pifold</x:v>
      </x:c>
      <x:c r="L42" s="4" t="str">
        <x:v>https://github.com/a4bio/pifold</x:v>
      </x:c>
      <x:c r="M42" s="4" t="str">
        <x:v>Introduction and benchmarking</x:v>
      </x:c>
    </x:row>
    <x:row r="43" ht="56" customHeight="1">
      <x:c r="A43" s="14" t="str">
        <x:v>Protein design</x:v>
      </x:c>
      <x:c r="B43" s="14" t="str">
        <x:v>ProteinBench inverse folding — CASP15 / CAMEO / synthetic backbones</x:v>
      </x:c>
      <x:c r="C43" s="14" t="str">
        <x:v>Benchmark</x:v>
      </x:c>
      <x:c r="D43" s="14" t="str">
        <x:v>32 CASP15 structures; 332 CAMEO complexes; synthetic backbones: 10 at each of 5 lengths (100–500 aa).</x:v>
      </x:c>
      <x:c r="E43" s="14" t="str">
        <x:v>Coordinates → sequence</x:v>
      </x:c>
      <x:c r="F43" s="14" t="str">
        <x:v>Reference structure/sequence and self-consistency predictions</x:v>
      </x:c>
      <x:c r="G43" s="14" t="str">
        <x:v>Published pretrained-model evaluation</x:v>
      </x:c>
      <x:c r="H43" s="14" t="str">
        <x:v>Some models are excluded from native recovery because of training exposure. Synthetic consistency is model-scored, not wet-lab.</x:v>
      </x:c>
      <x:c r="I43" s="14" t="str">
        <x:v>New primary-source review</x:v>
      </x:c>
      <x:c r="J43" s="14" t="str">
        <x:v>Primary source checked; payload not downloaded</x:v>
      </x:c>
      <x:c r="K43" s="14" t="str">
        <x:v>https://arxiv.org/html/2409.06744v2</x:v>
      </x:c>
      <x:c r="L43" s="14" t="str">
        <x:v>https://proteinbench.github.io/</x:v>
      </x:c>
      <x:c r="M43" s="14" t="str">
        <x:v>Inverse folding; Table 2</x:v>
      </x:c>
    </x:row>
    <x:row r="44" ht="70" customHeight="1">
      <x:c r="A44" s="4" t="str">
        <x:v>Protein design</x:v>
      </x:c>
      <x:c r="B44" s="4" t="str">
        <x:v>ProteinBench unconditional backbone generation</x:v>
      </x:c>
      <x:c r="C44" s="4" t="str">
        <x:v>Benchmark</x:v>
      </x:c>
      <x:c r="D44" s="4" t="str">
        <x:v>Length-stratified generation at 100/200/300/400/500 aa; 100 single-chain reference structures. Exact generated count must follow the release.</x:v>
      </x:c>
      <x:c r="E44" s="4" t="str">
        <x:v>Length/optional constraints → coordinates</x:v>
      </x:c>
      <x:c r="F44" s="4" t="str">
        <x:v>Predicted self-consistency</x:v>
      </x:c>
      <x:c r="G44" s="4" t="str">
        <x:v>Fixed generator plus sequence/structure scorers</x:v>
      </x:c>
      <x:c r="H44" s="4" t="str">
        <x:v>Reported values retained on the paper's scale; structural plausibility does not establish function.</x:v>
      </x:c>
      <x:c r="I44" s="4" t="str">
        <x:v>New primary-source review</x:v>
      </x:c>
      <x:c r="J44" s="4" t="str">
        <x:v>Primary source checked; payload not downloaded</x:v>
      </x:c>
      <x:c r="K44" s="4" t="str">
        <x:v>https://arxiv.org/html/2409.06744v2</x:v>
      </x:c>
      <x:c r="L44" s="4" t="str">
        <x:v>https://proteinbench.github.io/</x:v>
      </x:c>
      <x:c r="M44" s="4" t="str">
        <x:v>Backbone generation; Table 3</x:v>
      </x:c>
    </x:row>
    <x:row r="45" ht="42" customHeight="1">
      <x:c r="A45" s="14" t="str">
        <x:v>Protein design</x:v>
      </x:c>
      <x:c r="B45" s="14" t="str">
        <x:v>ProteinBench unconditional sequence generation</x:v>
      </x:c>
      <x:c r="C45" s="14" t="str">
        <x:v>Benchmark</x:v>
      </x:c>
      <x:c r="D45" s="14" t="str">
        <x:v>50 sequences per model at each length 100, 200, 300 and 500.</x:v>
      </x:c>
      <x:c r="E45" s="14" t="str">
        <x:v>Text/sequence generation with external structural scoring</x:v>
      </x:c>
      <x:c r="F45" s="14" t="str">
        <x:v>Structure-predictor confidence</x:v>
      </x:c>
      <x:c r="G45" s="14" t="str">
        <x:v>Sequence generator plus fixed folding evaluator</x:v>
      </x:c>
      <x:c r="H45" s="14" t="str">
        <x:v>pLDDT is confidence, not experimentally measured protein stability or function.</x:v>
      </x:c>
      <x:c r="I45" s="14" t="str">
        <x:v>New primary-source review</x:v>
      </x:c>
      <x:c r="J45" s="14" t="str">
        <x:v>Primary source checked; payload not downloaded</x:v>
      </x:c>
      <x:c r="K45" s="14" t="str">
        <x:v>https://arxiv.org/html/2409.06744v2</x:v>
      </x:c>
      <x:c r="L45" s="14" t="str">
        <x:v>https://proteinbench.github.io/</x:v>
      </x:c>
      <x:c r="M45" s="14" t="str">
        <x:v>Sequence generation; Table 4</x:v>
      </x:c>
    </x:row>
    <x:row r="46" ht="56" customHeight="1">
      <x:c r="A46" s="4" t="str">
        <x:v>Protein design</x:v>
      </x:c>
      <x:c r="B46" s="4" t="str">
        <x:v>ProteinBench joint sequence–structure generation</x:v>
      </x:c>
      <x:c r="C46" s="4" t="str">
        <x:v>Benchmark</x:v>
      </x:c>
      <x:c r="D46" s="4" t="str">
        <x:v>Length-stratified generated samples; exact per-setting candidate count not recovered.</x:v>
      </x:c>
      <x:c r="E46" s="4" t="str">
        <x:v>Length/constraints → sequence + coordinates</x:v>
      </x:c>
      <x:c r="F46" s="4" t="str">
        <x:v>Predicted self-consistency</x:v>
      </x:c>
      <x:c r="G46" s="4" t="str">
        <x:v>Joint generator + specialized scorer</x:v>
      </x:c>
      <x:c r="H46" s="4" t="str">
        <x:v>These are selected length-specific results, not one design success rate.</x:v>
      </x:c>
      <x:c r="I46" s="4" t="str">
        <x:v>New primary-source review</x:v>
      </x:c>
      <x:c r="J46" s="4" t="str">
        <x:v>Primary source checked; payload not downloaded</x:v>
      </x:c>
      <x:c r="K46" s="4" t="str">
        <x:v>https://arxiv.org/html/2409.06744v2</x:v>
      </x:c>
      <x:c r="L46" s="4" t="str">
        <x:v>https://proteinbench.github.io/</x:v>
      </x:c>
      <x:c r="M46" s="4" t="str">
        <x:v>Joint design; Table 5</x:v>
      </x:c>
    </x:row>
    <x:row r="47" ht="56" customHeight="1">
      <x:c r="A47" s="14" t="str">
        <x:v>Protein design</x:v>
      </x:c>
      <x:c r="B47" s="14" t="str">
        <x:v>MotifBench functional-motif scaffolding</x:v>
      </x:c>
      <x:c r="C47" s="14" t="str">
        <x:v>Benchmark</x:v>
      </x:c>
      <x:c r="D47" s="14" t="str">
        <x:v>30 motif problems; standard submission 100 scaffolds per problem.</x:v>
      </x:c>
      <x:c r="E47" s="14" t="str">
        <x:v>Motif coordinates + constraints → backbone; sequence design/scoring pipeline</x:v>
      </x:c>
      <x:c r="F47" s="14" t="str">
        <x:v>Structural constraints and computational refolding</x:v>
      </x:c>
      <x:c r="G47" s="14" t="str">
        <x:v>Fixed proposal budget; standardized evaluation</x:v>
      </x:c>
      <x:c r="H47" s="14" t="str">
        <x:v>Score is not percentage of experimentally functional proteins. Preserve sampling and evaluator versions.</x:v>
      </x:c>
      <x:c r="I47" s="14" t="str">
        <x:v>New primary-source review</x:v>
      </x:c>
      <x:c r="J47" s="14" t="str">
        <x:v>Primary source checked; payload not downloaded</x:v>
      </x:c>
      <x:c r="K47" s="14" t="str">
        <x:v>https://github.com/blt2114/MotifBench</x:v>
      </x:c>
      <x:c r="L47" s="14" t="str">
        <x:v>https://github.com/blt2114/MotifBench</x:v>
      </x:c>
      <x:c r="M47" s="14" t="str">
        <x:v>Benchmark specification; results table</x:v>
      </x:c>
    </x:row>
    <x:row r="48" ht="56" customHeight="1">
      <x:c r="A48" s="4" t="str">
        <x:v>Protein design</x:v>
      </x:c>
      <x:c r="B48" s="4" t="str">
        <x:v>ProteinBench motif scaffolding — legacy motif panel</x:v>
      </x:c>
      <x:c r="C48" s="4" t="str">
        <x:v>Benchmark</x:v>
      </x:c>
      <x:c r="D48" s="4" t="str">
        <x:v>Legacy 17 (25) motif-problem panel described by ProteinBench; not MotifBench's separate 30-problem set.</x:v>
      </x:c>
      <x:c r="E48" s="4" t="str">
        <x:v>Motif structure → scaffold</x:v>
      </x:c>
      <x:c r="F48" s="4" t="str">
        <x:v>Structural constraints + predicted designability</x:v>
      </x:c>
      <x:c r="G48" s="4" t="str">
        <x:v>Paper-defined conditional generation</x:v>
      </x:c>
      <x:c r="H48" s="4" t="str">
        <x:v>Do not merge the legacy panel with MotifBench or reuse their scores interchangeably.</x:v>
      </x:c>
      <x:c r="I48" s="4" t="str">
        <x:v>New primary-source review</x:v>
      </x:c>
      <x:c r="J48" s="4" t="str">
        <x:v>Primary source checked; payload not downloaded</x:v>
      </x:c>
      <x:c r="K48" s="4" t="str">
        <x:v>https://arxiv.org/html/2409.06744v2</x:v>
      </x:c>
      <x:c r="L48" s="4" t="str">
        <x:v>https://proteinbench.github.io/</x:v>
      </x:c>
      <x:c r="M48" s="4" t="str">
        <x:v>Motif scaffolding subsection and figure</x:v>
      </x:c>
    </x:row>
    <x:row r="49" ht="56" customHeight="1">
      <x:c r="A49" s="14" t="str">
        <x:v>Protein design</x:v>
      </x:c>
      <x:c r="B49" s="14" t="str">
        <x:v>ProteinBench antibody design — processed RAbD</x:v>
      </x:c>
      <x:c r="C49" s="14" t="str">
        <x:v>Benchmark</x:v>
      </x:c>
      <x:c r="D49" s="14" t="str">
        <x:v>55 retained RAbD complexes; differs from the 60-complex protocol in the earlier catalog.</x:v>
      </x:c>
      <x:c r="E49" s="14" t="str">
        <x:v>Complex structure + masked H3 → sequence/structure</x:v>
      </x:c>
      <x:c r="F49" s="14" t="str">
        <x:v>Native sequence/structure</x:v>
      </x:c>
      <x:c r="G49" s="14" t="str">
        <x:v>Published design-model comparison</x:v>
      </x:c>
      <x:c r="H49" s="14" t="str">
        <x:v>Same parent resource does not mean identical split or scorer. This is a distinct protocol, not 55 additional independent complexes.</x:v>
      </x:c>
      <x:c r="I49" s="14" t="str">
        <x:v>New primary-source review</x:v>
      </x:c>
      <x:c r="J49" s="14" t="str">
        <x:v>Primary source checked; payload not downloaded</x:v>
      </x:c>
      <x:c r="K49" s="14" t="str">
        <x:v>https://arxiv.org/html/2409.06744v2</x:v>
      </x:c>
      <x:c r="L49" s="14" t="str">
        <x:v>https://proteinbench.github.io/</x:v>
      </x:c>
      <x:c r="M49" s="14" t="str">
        <x:v>Antibody design; Table 6</x:v>
      </x:c>
    </x:row>
    <x:row r="50" ht="70" customHeight="1">
      <x:c r="A50" s="4" t="str">
        <x:v>Protein design</x:v>
      </x:c>
      <x:c r="B50" s="4" t="str">
        <x:v>CHIMERA-Bench epitope-conditioned antibody design</x:v>
      </x:c>
      <x:c r="C50" s="4" t="str">
        <x:v>Benchmark</x:v>
      </x:c>
      <x:c r="D50" s="4" t="str">
        <x:v>2,922 complexes total. Test: 292 epitope-group; 292 antigen-fold; 293 temporal. Splits are alternatives, not additive test sets.</x:v>
      </x:c>
      <x:c r="E50" s="4" t="str">
        <x:v>Antigen/framework/epitope context → CDR sequence+structure</x:v>
      </x:c>
      <x:c r="F50" s="4" t="str">
        <x:v>Reference complex contacts/geometry</x:v>
      </x:c>
      <x:c r="G50" s="4" t="str">
        <x:v>Eleven methods retrained on shared source splits</x:v>
      </x:c>
      <x:c r="H50" s="4" t="str">
        <x:v>EpiF1 measures intended-site contact, not empirical selectivity across off-target molecules.</x:v>
      </x:c>
      <x:c r="I50" s="4" t="str">
        <x:v>New primary-source review</x:v>
      </x:c>
      <x:c r="J50" s="4" t="str">
        <x:v>Primary source checked; payload not downloaded</x:v>
      </x:c>
      <x:c r="K50" s="4" t="str">
        <x:v>https://arxiv.org/html/2603.13431v1</x:v>
      </x:c>
      <x:c r="L50" s="4" t="str">
        <x:v>https://github.com/mansoor181/chimera-bench</x:v>
      </x:c>
      <x:c r="M50" s="4" t="str">
        <x:v>Table 1 (PDF p5); dataset splits</x:v>
      </x:c>
    </x:row>
    <x:row r="51" ht="56" customHeight="1">
      <x:c r="A51" s="14" t="str">
        <x:v>Protein design</x:v>
      </x:c>
      <x:c r="B51" s="14" t="str">
        <x:v>ProtDBench de novo target-binder design</x:v>
      </x:c>
      <x:c r="C51" s="14" t="str">
        <x:v>Benchmark</x:v>
      </x:c>
      <x:c r="D51" s="14" t="str">
        <x:v>10 target proteins; 24 h on one A100 per method/target setting. Includes generation, inverse folding and scoring.</x:v>
      </x:c>
      <x:c r="E51" s="14" t="str">
        <x:v>Target coordinates/sequence/hotspots → proposed binders</x:v>
      </x:c>
      <x:c r="F51" s="14" t="str">
        <x:v>Predicted interface/structure criteria; separate retrospective experimental analysis</x:v>
      </x:c>
      <x:c r="G51" s="14" t="str">
        <x:v>Time-matched generation and filtering</x:v>
      </x:c>
      <x:c r="H51" s="14" t="str">
        <x:v>Counts of computational passes, not wet-lab hit fractions. Exact target-specific conditions and verifier must match.</x:v>
      </x:c>
      <x:c r="I51" s="14" t="str">
        <x:v>New primary-source review</x:v>
      </x:c>
      <x:c r="J51" s="14" t="str">
        <x:v>Primary source checked; payload not downloaded</x:v>
      </x:c>
      <x:c r="K51" s="14" t="str">
        <x:v>https://arxiv.org/html/2605.04118v1</x:v>
      </x:c>
      <x:c r="L51" s="14" t="str">
        <x:v>https://arxiv.org/html/2605.04118v1</x:v>
      </x:c>
      <x:c r="M51" s="14" t="str">
        <x:v>Table 2; benchmark protocol</x:v>
      </x:c>
    </x:row>
    <x:row r="52" ht="56" customHeight="1">
      <x:c r="A52" s="4" t="str">
        <x:v>Structure and conformational prediction</x:v>
      </x:c>
      <x:c r="B52" s="4" t="str">
        <x:v>ATOM3D residue identity from local structure (RES)</x:v>
      </x:c>
      <x:c r="C52" s="4" t="str">
        <x:v>Benchmark</x:v>
      </x:c>
      <x:c r="D52" s="4" t="str">
        <x:v>Test: 3,319 PDB structures yielding 1,261,342 local environments; train: 21,147 structures.</x:v>
      </x:c>
      <x:c r="E52" s="4" t="str">
        <x:v>3D local atomic environment → amino-acid label</x:v>
      </x:c>
      <x:c r="F52" s="4" t="str">
        <x:v>Structure-derived residue labels</x:v>
      </x:c>
      <x:c r="G52" s="4" t="str">
        <x:v>Supervised structural model; preserve CATH topology split</x:v>
      </x:c>
      <x:c r="H52" s="4" t="str">
        <x:v>Environment count is not protein count. This is an established held-out structure task, unlike unverified internal diagnostics.</x:v>
      </x:c>
      <x:c r="I52" s="4" t="str">
        <x:v>New primary-source review</x:v>
      </x:c>
      <x:c r="J52" s="4" t="str">
        <x:v>Primary source checked; payload not downloaded</x:v>
      </x:c>
      <x:c r="K52" s="4" t="str">
        <x:v>https://arxiv.org/html/2012.04035v3</x:v>
      </x:c>
      <x:c r="L52" s="4" t="str">
        <x:v>https://www.atom3d.ai/</x:v>
      </x:c>
      <x:c r="M52" s="4" t="str">
        <x:v>Residue identity dataset / results table</x:v>
      </x:c>
    </x:row>
    <x:row r="53" ht="56" customHeight="1">
      <x:c r="A53" s="14" t="str">
        <x:v>Structure and conformational prediction</x:v>
      </x:c>
      <x:c r="B53" s="14" t="str">
        <x:v>ATOM3D protein structure ranking (PSR)</x:v>
      </x:c>
      <x:c r="C53" s="14" t="str">
        <x:v>Benchmark</x:v>
      </x:c>
      <x:c r="D53" s="14" t="str">
        <x:v>CASP-derived target/decoy split; exact processed test-target/decoy counts not transcribed.</x:v>
      </x:c>
      <x:c r="E53" s="14" t="str">
        <x:v>Candidate coordinates → quality score</x:v>
      </x:c>
      <x:c r="F53" s="14" t="str">
        <x:v>Reference structural quality</x:v>
      </x:c>
      <x:c r="G53" s="14" t="str">
        <x:v>Supervised structural scoring</x:v>
      </x:c>
      <x:c r="H53" s="14" t="str">
        <x:v>Ranking a supplied set of structures is not de novo structure generation.</x:v>
      </x:c>
      <x:c r="I53" s="14" t="str">
        <x:v>New primary-source review</x:v>
      </x:c>
      <x:c r="J53" s="14" t="str">
        <x:v>Primary source checked; payload not downloaded</x:v>
      </x:c>
      <x:c r="K53" s="14" t="str">
        <x:v>https://arxiv.org/html/2012.04035v3</x:v>
      </x:c>
      <x:c r="L53" s="14" t="str">
        <x:v>https://www.atom3d.ai/</x:v>
      </x:c>
      <x:c r="M53" s="14" t="str">
        <x:v>PSR definition and results</x:v>
      </x:c>
    </x:row>
    <x:row r="54" ht="56" customHeight="1">
      <x:c r="A54" s="4" t="str">
        <x:v>Structure and conformational prediction</x:v>
      </x:c>
      <x:c r="B54" s="4" t="str">
        <x:v>ProteinBench single-state folding — CAMEO 2022</x:v>
      </x:c>
      <x:c r="C54" s="4" t="str">
        <x:v>Benchmark</x:v>
      </x:c>
      <x:c r="D54" s="4" t="str">
        <x:v>183 proteins (&lt;750 residues), released Aug–Oct 2022.</x:v>
      </x:c>
      <x:c r="E54" s="4" t="str">
        <x:v>Sequence and protocol-permitted context → coordinates</x:v>
      </x:c>
      <x:c r="F54" s="4" t="str">
        <x:v>Experimental reference structures</x:v>
      </x:c>
      <x:c r="G54" s="4" t="str">
        <x:v>Model-specific structure prediction</x:v>
      </x:c>
      <x:c r="H54" s="4" t="str">
        <x:v>Models may have different MSA/template access. This is a historical target cohort, not the live CAMEO leaderboard.</x:v>
      </x:c>
      <x:c r="I54" s="4" t="str">
        <x:v>New primary-source review</x:v>
      </x:c>
      <x:c r="J54" s="4" t="str">
        <x:v>Primary source checked; payload not downloaded</x:v>
      </x:c>
      <x:c r="K54" s="4" t="str">
        <x:v>https://arxiv.org/html/2409.06744v2</x:v>
      </x:c>
      <x:c r="L54" s="4" t="str">
        <x:v>https://proteinbench.github.io/</x:v>
      </x:c>
      <x:c r="M54" s="4" t="str">
        <x:v>Single-state prediction; Table 7</x:v>
      </x:c>
    </x:row>
    <x:row r="55" ht="70" customHeight="1">
      <x:c r="A55" s="14" t="str">
        <x:v>Structure and conformational prediction</x:v>
      </x:c>
      <x:c r="B55" s="14" t="str">
        <x:v>ProteinBench multistate conformations — apo/holo and BPTI</x:v>
      </x:c>
      <x:c r="C55" s="14" t="str">
        <x:v>Benchmark</x:v>
      </x:c>
      <x:c r="D55" s="14" t="str">
        <x:v>Apo/holo: 91 protein pairs, 20 generated conformations per protein. BPTI: one 58-residue protein, 5 MD clusters, N=10/100/1000 samples.</x:v>
      </x:c>
      <x:c r="E55" s="14" t="str">
        <x:v>Sequence → conformational ensemble</x:v>
      </x:c>
      <x:c r="F55" s="14" t="str">
        <x:v>Experimental paired states / MD reference clusters</x:v>
      </x:c>
      <x:c r="G55" s="14" t="str">
        <x:v>Ensemble generation at fixed sampling budget</x:v>
      </x:c>
      <x:c r="H55" s="14" t="str">
        <x:v>Sample count is not the number of independent test proteins; BPTI alone gives narrow generalization evidence.</x:v>
      </x:c>
      <x:c r="I55" s="14" t="str">
        <x:v>New primary-source review</x:v>
      </x:c>
      <x:c r="J55" s="14" t="str">
        <x:v>Primary source checked; payload not downloaded</x:v>
      </x:c>
      <x:c r="K55" s="14" t="str">
        <x:v>https://arxiv.org/html/2409.06744v2</x:v>
      </x:c>
      <x:c r="L55" s="14" t="str">
        <x:v>https://proteinbench.github.io/</x:v>
      </x:c>
      <x:c r="M55" s="14" t="str">
        <x:v>Multistate prediction; Tables 8–9</x:v>
      </x:c>
    </x:row>
    <x:row r="56" ht="56" customHeight="1">
      <x:c r="A56" s="4" t="str">
        <x:v>Structure and conformational prediction</x:v>
      </x:c>
      <x:c r="B56" s="4" t="str">
        <x:v>ProteinBench ensemble distribution — ATLAS</x:v>
      </x:c>
      <x:c r="C56" s="4" t="str">
        <x:v>Benchmark</x:v>
      </x:c>
      <x:c r="D56" s="4" t="str">
        <x:v>82 held-out proteins; 250 generated conformations per protein.</x:v>
      </x:c>
      <x:c r="E56" s="4" t="str">
        <x:v>Sequence → ensemble</x:v>
      </x:c>
      <x:c r="F56" s="4" t="str">
        <x:v>Molecular-dynamics reference distributions</x:v>
      </x:c>
      <x:c r="G56" s="4" t="str">
        <x:v>Fixed ensemble sampling and distributional metrics</x:v>
      </x:c>
      <x:c r="H56" s="4" t="str">
        <x:v>MD reference is simulation-derived, not an exhaustive experimental distribution. Preserve alignment, projection and aggregation.</x:v>
      </x:c>
      <x:c r="I56" s="4" t="str">
        <x:v>New primary-source review</x:v>
      </x:c>
      <x:c r="J56" s="4" t="str">
        <x:v>Primary source checked; payload not downloaded</x:v>
      </x:c>
      <x:c r="K56" s="4" t="str">
        <x:v>https://arxiv.org/html/2409.06744v2</x:v>
      </x:c>
      <x:c r="L56" s="4" t="str">
        <x:v>https://proteinbench.github.io/</x:v>
      </x:c>
      <x:c r="M56" s="4" t="str">
        <x:v>Distribution prediction; Table 10</x:v>
      </x:c>
    </x:row>
    <x:row r="57" ht="70" customHeight="1">
      <x:c r="A57" s="14" t="str">
        <x:v>Structure and conformational prediction</x:v>
      </x:c>
      <x:c r="B57" s="14" t="str">
        <x:v>BioEmu benchmark collection — states, dynamics and free energy</x:v>
      </x:c>
      <x:c r="C57" s="14" t="str">
        <x:v>Benchmark</x:v>
      </x:c>
      <x:c r="D57" s="14" t="str">
        <x:v>Multiple panels: domain motion, local unfolding, cryptic pockets, MD emulation and experimental folding free energies. Exact panel sizes not re-counted.</x:v>
      </x:c>
      <x:c r="E57" s="14" t="str">
        <x:v>Protein sequence → conformational ensemble</x:v>
      </x:c>
      <x:c r="F57" s="14" t="str">
        <x:v>Experimental structures/stabilities and MD references</x:v>
      </x:c>
      <x:c r="G57" s="14" t="str">
        <x:v>Pretrained ensemble generator; specialized evaluation</x:v>
      </x:c>
      <x:c r="H57" s="14" t="str">
        <x:v>Pin benchmark/model revision: version changes affect values. Panel scores are not one pooled success rate.</x:v>
      </x:c>
      <x:c r="I57" s="14" t="str">
        <x:v>New primary-source review</x:v>
      </x:c>
      <x:c r="J57" s="14" t="str">
        <x:v>Primary source checked; payload not downloaded</x:v>
      </x:c>
      <x:c r="K57" s="14" t="str">
        <x:v>https://github.com/microsoft/bioemu/blob/main/MODEL_CARD.md</x:v>
      </x:c>
      <x:c r="L57" s="14" t="str">
        <x:v>https://github.com/microsoft/bioemu-benchmarks</x:v>
      </x:c>
      <x:c r="M57" s="14" t="str">
        <x:v>Model card validation; benchmark packages</x:v>
      </x:c>
    </x:row>
    <x:row r="58" ht="84" customHeight="1">
      <x:c r="A58" s="4" t="str">
        <x:v>Structure and conformational prediction</x:v>
      </x:c>
      <x:c r="B58" s="4" t="str">
        <x:v>PFMBench structure-derived prediction panel</x:v>
      </x:c>
      <x:c r="C58" s="4" t="str">
        <x:v>Benchmark</x:v>
      </x:c>
      <x:c r="D58" s="4" t="str">
        <x:v>Test sizes: Contact: 1,501; FoldClass: 1,630; SecondaryStructure: 8,262</x:v>
      </x:c>
      <x:c r="E58" s="4" t="str">
        <x:v>Protein sequences/features; partner/context inputs for interaction tasks</x:v>
      </x:c>
      <x:c r="F58" s="4" t="str">
        <x:v>Source annotations/measurements; structure tasks use structural labels</x:v>
      </x:c>
      <x:c r="G58" s="4" t="str">
        <x:v>Supervised ESM2-Adapter, three-run mean</x:v>
      </x:c>
      <x:c r="H58" s="4" t="str">
        <x:v>These are PFMBench-specific processed datasets/splits, not interchangeable with PEER/ProtST results. F1 is not Fmax. Affinity-named AUROC tasks are classification, not KD regression. Exact loaders required.</x:v>
      </x:c>
      <x:c r="I58" s="4" t="str">
        <x:v>New primary-source review</x:v>
      </x:c>
      <x:c r="J58" s="4" t="str">
        <x:v>Primary source checked; payload not downloaded</x:v>
      </x:c>
      <x:c r="K58" s="4" t="str">
        <x:v>https://arxiv.org/html/2506.14796v1</x:v>
      </x:c>
      <x:c r="L58" s="4" t="str">
        <x:v>https://github.com/biomap-research/PFMBench</x:v>
      </x:c>
      <x:c r="M58" s="4" t="str">
        <x:v>Table 1; PFMBench details sheet</x:v>
      </x:c>
    </x:row>
    <x:row r="59" ht="182" customHeight="1">
      <x:c r="A59" s="14" t="str">
        <x:v>Biomedical visual evidence</x:v>
      </x:c>
      <x:c r="B59" s="14" t="str">
        <x:v>Biomedical VQA: VQA-RAD / SLAKE-English / PathVQA / VQA-Med 2019</x:v>
      </x:c>
      <x:c r="C59" s="14" t="str">
        <x:v>Benchmark</x:v>
      </x:c>
      <x:c r="D59" s="14" t="str">
        <x:v>Distinct official task splits; exact test counts not re-established. Open/closed answer groups must remain separate.</x:v>
      </x:c>
      <x:c r="E59" s="14" t="str">
        <x:v>Radiology images with questions; Medical images with English questions; Pathology images with questions; Medical images and questions</x:v>
      </x:c>
      <x:c r="F59" s="14" t="str">
        <x:v>Curated image/answer records; Curated visual questions/answers; Dataset image/answer pairs; Challenge reference answers</x:v>
      </x:c>
      <x:c r="G59" s="14" t="str">
        <x:v>Source-specific; not a zero-shot/API claim</x:v>
      </x:c>
      <x:c r="H59" s="14" t="str">
        <x:v>Medical-image performance does not show use of protein sequence/structure embeddings. Open-answer scorers differ between papers. | Medical-image performance does not show use of protein sequence/structure embeddings. Open-answer scorers differ between papers. | Medical-image performance does not show use of protein sequence/structure embeddings. Open-answer scorers differ between papers. | Medical-image performance does not show use of protein sequence/structure embeddings. Open-answer scorers differ between papers.</x:v>
      </x:c>
      <x:c r="I59" s="14" t="str">
        <x:v>Original 64-setting catalog; published scores carried forward</x:v>
      </x:c>
      <x:c r="J59" s="14" t="str">
        <x:v>Carried-forward access state; exact loader/scorer still needs verification</x:v>
      </x:c>
      <x:c r="K59" s="14" t="str">
        <x:v>https://arxiv.org/abs/2306.00890
https://arxiv.org/html/2305.10415v6
https://arxiv.org/abs/2306.00890
https://arxiv.org/html/2305.10415v6</x:v>
      </x:c>
      <x:c r="L59" s="14" t="str">
        <x:v>https://github.com/microsoft/LLaVA-Med
https://github.com/xiaoman-zhang/PMC-VQA</x:v>
      </x:c>
      <x:c r="M59" s="14" t="str">
        <x:v>Table 2; Table 2; Table 4; Table 2</x:v>
      </x:c>
    </x:row>
    <x:row r="60" ht="56" customHeight="1">
      <x:c r="A60" s="4" t="str">
        <x:v>Biomedical visual evidence</x:v>
      </x:c>
      <x:c r="B60" s="4" t="str">
        <x:v>PMC-VQA figure question answering</x:v>
      </x:c>
      <x:c r="C60" s="4" t="str">
        <x:v>Benchmark</x:v>
      </x:c>
      <x:c r="D60" s="4" t="str">
        <x:v>Reviewed v6: 50,000 initial test examples; 2,000 manually reviewed clean test examples.</x:v>
      </x:c>
      <x:c r="E60" s="4" t="str">
        <x:v>Image, question, and optionally answer choices</x:v>
      </x:c>
      <x:c r="F60" s="4" t="str">
        <x:v>Synthetic figure-derived labels; manually checked clean subset</x:v>
      </x:c>
      <x:c r="G60" s="4" t="str">
        <x:v>Source-specific; not a zero-shot/API claim</x:v>
      </x:c>
      <x:c r="H60" s="4" t="str">
        <x:v>Specify initial versus cleaned test set. Caption-derived labels need not be visually answerable without filtering.</x:v>
      </x:c>
      <x:c r="I60" s="4" t="str">
        <x:v>Original 64-setting catalog; published scores carried forward</x:v>
      </x:c>
      <x:c r="J60" s="4" t="str">
        <x:v>Carried-forward access state; exact loader/scorer still needs verification</x:v>
      </x:c>
      <x:c r="K60" s="4" t="str">
        <x:v>https://arxiv.org/html/2305.10415v6</x:v>
      </x:c>
      <x:c r="L60" s="4" t="str">
        <x:v>https://github.com/xiaoman-zhang/PMC-VQA</x:v>
      </x:c>
      <x:c r="M60" s="4" t="str">
        <x:v>PMC-VQA evaluation section</x:v>
      </x:c>
    </x:row>
    <x:row r="61" ht="56" customHeight="1">
      <x:c r="A61" s="14" t="str">
        <x:v>Biomedical visual evidence</x:v>
      </x:c>
      <x:c r="B61" s="14" t="str">
        <x:v>LLaVA-Med biomedical visual conversations</x:v>
      </x:c>
      <x:c r="C61" s="14" t="str">
        <x:v>Judged evaluation</x:v>
      </x:c>
      <x:c r="D61" s="14" t="str">
        <x:v>Published 50-image conversation-evaluation setting; teacher-generated text references.</x:v>
      </x:c>
      <x:c r="E61" s="14" t="str">
        <x:v>Biomedical image and conversational questions</x:v>
      </x:c>
      <x:c r="F61" s="14" t="str">
        <x:v>Text-only GPT-4 answers generated using captions and inline mentions</x:v>
      </x:c>
      <x:c r="G61" s="14" t="str">
        <x:v>Source-specific; not a zero-shot/API claim</x:v>
      </x:c>
      <x:c r="H61" s="14" t="str">
        <x:v>Teacher reference has textual context that the image may not reveal. Judgment is not direct clinician-verified molecular truth.</x:v>
      </x:c>
      <x:c r="I61" s="14" t="str">
        <x:v>Original 64-setting catalog; published scores carried forward</x:v>
      </x:c>
      <x:c r="J61" s="14" t="str">
        <x:v>Carried-forward access state; exact loader/scorer still needs verification</x:v>
      </x:c>
      <x:c r="K61" s="14" t="str">
        <x:v>https://arxiv.org/abs/2306.00890</x:v>
      </x:c>
      <x:c r="L61" s="14" t="str">
        <x:v>https://github.com/microsoft/LLaVA-Med</x:v>
      </x:c>
      <x:c r="M61" s="14" t="str">
        <x:v>Visual conversation evaluation</x:v>
      </x:c>
    </x:row>
    <x:row r="62" ht="42" customHeight="1">
      <x:c r="A62" s="4" t="str">
        <x:v>Other biological modalities and molecular interactions</x:v>
      </x:c>
      <x:c r="B62" s="4" t="str">
        <x:v>Drug–target interaction: BioSNAP / Human / BindingDB</x:v>
      </x:c>
      <x:c r="C62" s="4" t="str">
        <x:v>Benchmark</x:v>
      </x:c>
      <x:c r="D62" s="4" t="str">
        <x:v>Three source benchmarks; preserve each split/negative/threshold rule.</x:v>
      </x:c>
      <x:c r="E62" s="4" t="str">
        <x:v>Small-molecule representation and protein sequence</x:v>
      </x:c>
      <x:c r="F62" s="4" t="str">
        <x:v>Dataset-specific interaction/affinity-derived labels</x:v>
      </x:c>
      <x:c r="G62" s="4" t="str">
        <x:v>Source-specific; not a zero-shot/API claim</x:v>
      </x:c>
      <x:c r="H62" s="4" t="str">
        <x:v>Secondary to the protein focus. Not protein–protein recognition or Affibody–pMHC evaluation.</x:v>
      </x:c>
      <x:c r="I62" s="4" t="str">
        <x:v>Original 64-setting catalog; published scores carried forward</x:v>
      </x:c>
      <x:c r="J62" s="4" t="str">
        <x:v>Carried-forward access state; exact loader/scorer still needs verification</x:v>
      </x:c>
      <x:c r="K62" s="4" t="str">
        <x:v>https://arxiv.org/html/2402.17810v2</x:v>
      </x:c>
      <x:c r="L62" s="4" t="str">
        <x:v>https://github.com/QizhiPei/BioT5</x:v>
      </x:c>
      <x:c r="M62" s="4" t="str">
        <x:v>Table 8</x:v>
      </x:c>
    </x:row>
    <x:row r="63" ht="42" customHeight="1">
      <x:c r="A63" s="14" t="str">
        <x:v>Other biological modalities and molecular interactions</x:v>
      </x:c>
      <x:c r="B63" s="14" t="str">
        <x:v>BioReason KEGG pathway/disease</x:v>
      </x:c>
      <x:c r="C63" s="14" t="str">
        <x:v>Benchmark</x:v>
      </x:c>
      <x:c r="D63" s="14" t="str">
        <x:v>290 test entries in main table; 1,449 overall entries across splits.</x:v>
      </x:c>
      <x:c r="E63" s="14" t="str">
        <x:v>Reference/variant DNA and pathway context</x:v>
      </x:c>
      <x:c r="F63" s="14" t="str">
        <x:v>KEGG-linked annotations</x:v>
      </x:c>
      <x:c r="G63" s="14" t="str">
        <x:v>Source-specific; not a zero-shot/API claim</x:v>
      </x:c>
      <x:c r="H63" s="14" t="str">
        <x:v>Correct final disease labels do not verify every generated mechanistic statement.</x:v>
      </x:c>
      <x:c r="I63" s="14" t="str">
        <x:v>Original 64-setting catalog; published scores carried forward</x:v>
      </x:c>
      <x:c r="J63" s="14" t="str">
        <x:v>Carried-forward access state; exact loader/scorer still needs verification</x:v>
      </x:c>
      <x:c r="K63" s="14" t="str">
        <x:v>https://arxiv.org/html/2505.23579v2</x:v>
      </x:c>
      <x:c r="L63" s="14" t="str">
        <x:v>https://huggingface.co/datasets/wanglab/kegg</x:v>
      </x:c>
      <x:c r="M63" s="14" t="str">
        <x:v>Table 1</x:v>
      </x:c>
    </x:row>
    <x:row r="64" ht="70" customHeight="1">
      <x:c r="A64" s="4" t="str">
        <x:v>Other biological modalities and molecular interactions</x:v>
      </x:c>
      <x:c r="B64" s="4" t="str">
        <x:v>BioReason VEP coding and non-SNV</x:v>
      </x:c>
      <x:c r="C64" s="4" t="str">
        <x:v>Benchmark</x:v>
      </x:c>
      <x:c r="D64" s="4" t="str">
        <x:v>Coding: approximately 1.23K reported test cases; non-SNV: 873. Distinct datasets.</x:v>
      </x:c>
      <x:c r="E64" s="4" t="str">
        <x:v>Reference/variant DNA and prompt; Variant representation/context</x:v>
      </x:c>
      <x:c r="F64" s="4" t="str">
        <x:v>Curated clinical variant labels; Curated variant labels</x:v>
      </x:c>
      <x:c r="G64" s="4" t="str">
        <x:v>Source-specific; not a zero-shot/API claim</x:v>
      </x:c>
      <x:c r="H64" s="4" t="str">
        <x:v>Genomics task, not Affibody binding; annotation confidence and splitting matter. | Non-SNV classification should not be merged with single-amino-acid design accuracy.</x:v>
      </x:c>
      <x:c r="I64" s="4" t="str">
        <x:v>Original 64-setting catalog; published scores carried forward</x:v>
      </x:c>
      <x:c r="J64" s="4" t="str">
        <x:v>Carried-forward access state; exact loader/scorer still needs verification</x:v>
      </x:c>
      <x:c r="K64" s="4" t="str">
        <x:v>https://arxiv.org/html/2505.23579v2</x:v>
      </x:c>
      <x:c r="L64" s="4" t="str">
        <x:v>https://github.com/bowang-lab/BioReason</x:v>
      </x:c>
      <x:c r="M64" s="4" t="str">
        <x:v>Table 2; Table 2</x:v>
      </x:c>
    </x:row>
    <x:row r="65" ht="56" customHeight="1">
      <x:c r="A65" s="14" t="str">
        <x:v>Other biological modalities and molecular interactions</x:v>
      </x:c>
      <x:c r="B65" s="14" t="str">
        <x:v>Bio-posttrain KEGG unseen-network holdout</x:v>
      </x:c>
      <x:c r="C65" s="14" t="str">
        <x:v>Paper-specific holdout</x:v>
      </x:c>
      <x:c r="D65" s="14" t="str">
        <x:v>Adapted KEGG split by pathway networks; not automatically BioReason's original 290-example test.</x:v>
      </x:c>
      <x:c r="E65" s="14" t="str">
        <x:v>DNA representations and pathway context</x:v>
      </x:c>
      <x:c r="F65" s="14" t="str">
        <x:v>Task reference annotations</x:v>
      </x:c>
      <x:c r="G65" s="14" t="str">
        <x:v>Source-specific; not a zero-shot/API claim</x:v>
      </x:c>
      <x:c r="H65" s="14" t="str">
        <x:v>Pin the adapted split and preprocessing.</x:v>
      </x:c>
      <x:c r="I65" s="14" t="str">
        <x:v>Original 64-setting catalog; published scores carried forward</x:v>
      </x:c>
      <x:c r="J65" s="14" t="str">
        <x:v>Carried-forward access state; exact loader/scorer still needs verification</x:v>
      </x:c>
      <x:c r="K65" s="14" t="str">
        <x:v>https://arxiv.org/html/2606.16517v1</x:v>
      </x:c>
      <x:c r="L65" s="14" t="str">
        <x:v>https://github.com/mims-harvard/bio-posttrain</x:v>
      </x:c>
      <x:c r="M65" s="14" t="str">
        <x:v>Appendix C.4, Table 5</x:v>
      </x:c>
    </x:row>
    <x:row r="66" ht="42" customHeight="1">
      <x:c r="A66" s="4" t="str">
        <x:v>Other biological modalities and molecular interactions</x:v>
      </x:c>
      <x:c r="B66" s="4" t="str">
        <x:v>Bio-posttrain MEDEA expression-conditioned gene selection</x:v>
      </x:c>
      <x:c r="C66" s="4" t="str">
        <x:v>Paper-specific holdout</x:v>
      </x:c>
      <x:c r="D66" s="4" t="str">
        <x:v>Held-out disease: hepatoblastoma; additional cell-type analyses reported.</x:v>
      </x:c>
      <x:c r="E66" s="4" t="str">
        <x:v>Candidate genes, expression representations, disease and cell context</x:v>
      </x:c>
      <x:c r="F66" s="4" t="str">
        <x:v>Adapted MEDEA task answers</x:v>
      </x:c>
      <x:c r="G66" s="4" t="str">
        <x:v>Source-specific; not a zero-shot/API claim</x:v>
      </x:c>
      <x:c r="H66" s="4" t="str">
        <x:v>Fixed-input target nomination is not the original full agent workflow or clinical validation.</x:v>
      </x:c>
      <x:c r="I66" s="4" t="str">
        <x:v>Original 64-setting catalog; published scores carried forward</x:v>
      </x:c>
      <x:c r="J66" s="4" t="str">
        <x:v>Carried-forward access state; exact loader/scorer still needs verification</x:v>
      </x:c>
      <x:c r="K66" s="4" t="str">
        <x:v>https://arxiv.org/html/2606.16517v1</x:v>
      </x:c>
      <x:c r="L66" s="4" t="str">
        <x:v>https://github.com/mims-harvard/bio-posttrain</x:v>
      </x:c>
      <x:c r="M66" s="4" t="str">
        <x:v>RNA results; Appendix A.2</x:v>
      </x:c>
    </x:row>
    <x:row r="67" ht="56" customHeight="1">
      <x:c r="A67" s="14" t="str">
        <x:v>Other biological modalities and molecular interactions</x:v>
      </x:c>
      <x:c r="B67" s="14" t="str">
        <x:v>ATOM3D protein–ligand affinity (LBA)</x:v>
      </x:c>
      <x:c r="C67" s="14" t="str">
        <x:v>Benchmark</x:v>
      </x:c>
      <x:c r="D67" s="14" t="str">
        <x:v>30%-identity split: train 3,507, validation 466, test 490 complexes. The 60% split is a different protocol.</x:v>
      </x:c>
      <x:c r="E67" s="14" t="str">
        <x:v>Protein–ligand coordinates → assay-derived affinity</x:v>
      </x:c>
      <x:c r="F67" s="14" t="str">
        <x:v>PDBbind experimental affinities</x:v>
      </x:c>
      <x:c r="G67" s="14" t="str">
        <x:v>Supervised regression</x:v>
      </x:c>
      <x:c r="H67" s="14" t="str">
        <x:v>Target transformation and split must match. Not antibody–antigen affinity.</x:v>
      </x:c>
      <x:c r="I67" s="14" t="str">
        <x:v>New primary-source review</x:v>
      </x:c>
      <x:c r="J67" s="14" t="str">
        <x:v>Primary source checked; payload not downloaded</x:v>
      </x:c>
      <x:c r="K67" s="14" t="str">
        <x:v>https://arxiv.org/html/2012.04035v3</x:v>
      </x:c>
      <x:c r="L67" s="14" t="str">
        <x:v>https://www.atom3d.ai/</x:v>
      </x:c>
      <x:c r="M67" s="14" t="str">
        <x:v>LBA dataset and Table 5</x:v>
      </x:c>
    </x:row>
    <x:row r="68" ht="42" customHeight="1">
      <x:c r="A68" s="4" t="str">
        <x:v>Other biological modalities and molecular interactions</x:v>
      </x:c>
      <x:c r="B68" s="4" t="str">
        <x:v>ATOM3D ligand efficacy (LEP)</x:v>
      </x:c>
      <x:c r="C68" s="4" t="str">
        <x:v>Benchmark</x:v>
      </x:c>
      <x:c r="D68" s="4" t="str">
        <x:v>527 source small molecules; final retained train/test counts not transcribed.</x:v>
      </x:c>
      <x:c r="E68" s="4" t="str">
        <x:v>Ligand/receptor conformations → efficacy class</x:v>
      </x:c>
      <x:c r="F68" s="4" t="str">
        <x:v>Curated active/inactive ligand labels</x:v>
      </x:c>
      <x:c r="G68" s="4" t="str">
        <x:v>Supervised classification</x:v>
      </x:c>
      <x:c r="H68" s="4" t="str">
        <x:v>Activity/efficacy is distinct from affinity. Source molecule count is not a test denominator.</x:v>
      </x:c>
      <x:c r="I68" s="4" t="str">
        <x:v>New primary-source review</x:v>
      </x:c>
      <x:c r="J68" s="4" t="str">
        <x:v>Primary source checked; payload not downloaded</x:v>
      </x:c>
      <x:c r="K68" s="4" t="str">
        <x:v>https://arxiv.org/html/2012.04035v3</x:v>
      </x:c>
      <x:c r="L68" s="4" t="str">
        <x:v>https://www.atom3d.ai/lep.html</x:v>
      </x:c>
      <x:c r="M68" s="4" t="str">
        <x:v>LEP dataset; Table 4</x:v>
      </x:c>
    </x:row>
    <x:row r="69" ht="56" customHeight="1">
      <x:c r="A69" s="14" t="str">
        <x:v>Other biological modalities and molecular interactions</x:v>
      </x:c>
      <x:c r="B69" s="14" t="str">
        <x:v>ATOM3D RNA structure ranking (RSR)</x:v>
      </x:c>
      <x:c r="C69" s="14" t="str">
        <x:v>Benchmark</x:v>
      </x:c>
      <x:c r="D69" s="14" t="str">
        <x:v>RNA-Puzzles 1–21; test puzzles 18–21, with decoys per target. Exact retained test-decoy count not re-counted.</x:v>
      </x:c>
      <x:c r="E69" s="14" t="str">
        <x:v>RNA candidate coordinates → quality score</x:v>
      </x:c>
      <x:c r="F69" s="14" t="str">
        <x:v>RNA reference structures</x:v>
      </x:c>
      <x:c r="G69" s="14" t="str">
        <x:v>Supervised ranking</x:v>
      </x:c>
      <x:c r="H69" s="14" t="str">
        <x:v>RNA task retained as adjacent scope, not a protein benchmark.</x:v>
      </x:c>
      <x:c r="I69" s="14" t="str">
        <x:v>New primary-source review</x:v>
      </x:c>
      <x:c r="J69" s="14" t="str">
        <x:v>Primary source checked; payload not downloaded</x:v>
      </x:c>
      <x:c r="K69" s="14" t="str">
        <x:v>https://arxiv.org/html/2012.04035v3</x:v>
      </x:c>
      <x:c r="L69" s="14" t="str">
        <x:v>https://www.atom3d.ai/rsr.html</x:v>
      </x:c>
      <x:c r="M69" s="14" t="str">
        <x:v>RSR dataset and results</x:v>
      </x:c>
    </x:row>
    <x:row r="70" ht="42" customHeight="1">
      <x:c r="A70" s="4" t="str">
        <x:v>Other biological modalities and molecular interactions</x:v>
      </x:c>
      <x:c r="B70" s="4" t="str">
        <x:v>ATOM3D small-molecule properties (SMP / QM9)</x:v>
      </x:c>
      <x:c r="C70" s="4" t="str">
        <x:v>Benchmark</x:v>
      </x:c>
      <x:c r="D70" s="4" t="str">
        <x:v>Processed test 12,943 molecules (train 103,547; validation 12,943).</x:v>
      </x:c>
      <x:c r="E70" s="4" t="str">
        <x:v>Small-molecule atom coordinates → property</x:v>
      </x:c>
      <x:c r="F70" s="4" t="str">
        <x:v>Quantum-calculation labels</x:v>
      </x:c>
      <x:c r="G70" s="4" t="str">
        <x:v>Supervised molecular regression</x:v>
      </x:c>
      <x:c r="H70" s="4" t="str">
        <x:v>Adjacency only; not protein biology. Units depend on property.</x:v>
      </x:c>
      <x:c r="I70" s="4" t="str">
        <x:v>New primary-source review</x:v>
      </x:c>
      <x:c r="J70" s="4" t="str">
        <x:v>Primary source checked; payload not downloaded</x:v>
      </x:c>
      <x:c r="K70" s="4" t="str">
        <x:v>https://arxiv.org/html/2012.04035v3</x:v>
      </x:c>
      <x:c r="L70" s="4" t="str">
        <x:v>https://www.atom3d.ai/</x:v>
      </x:c>
      <x:c r="M70" s="4" t="str">
        <x:v>SMP split and property table</x:v>
      </x:c>
    </x:row>
    <x:row r="71" ht="84" customHeight="1">
      <x:c r="A71" s="14" t="str">
        <x:v>Other biological modalities and molecular interactions</x:v>
      </x:c>
      <x:c r="B71" s="14" t="str">
        <x:v>PFMBench PDBbind / BindingDB affinity panel</x:v>
      </x:c>
      <x:c r="C71" s="14" t="str">
        <x:v>Benchmark</x:v>
      </x:c>
      <x:c r="D71" s="14" t="str">
        <x:v>Test sizes: PDBBind: 1,836; BindingDB: 1,139</x:v>
      </x:c>
      <x:c r="E71" s="14" t="str">
        <x:v>Protein sequences/features; partner/context inputs for interaction tasks</x:v>
      </x:c>
      <x:c r="F71" s="14" t="str">
        <x:v>Source annotations/measurements; structure tasks use structural labels</x:v>
      </x:c>
      <x:c r="G71" s="14" t="str">
        <x:v>Supervised ESM2-Adapter, three-run mean</x:v>
      </x:c>
      <x:c r="H71" s="14" t="str">
        <x:v>These are PFMBench-specific processed datasets/splits, not interchangeable with PEER/ProtST results. F1 is not Fmax. Affinity-named AUROC tasks are classification, not KD regression. Exact loaders required.</x:v>
      </x:c>
      <x:c r="I71" s="14" t="str">
        <x:v>New primary-source review</x:v>
      </x:c>
      <x:c r="J71" s="14" t="str">
        <x:v>Primary source checked; payload not downloaded</x:v>
      </x:c>
      <x:c r="K71" s="14" t="str">
        <x:v>https://arxiv.org/html/2506.14796v1</x:v>
      </x:c>
      <x:c r="L71" s="14" t="str">
        <x:v>https://github.com/biomap-research/PFMBench</x:v>
      </x:c>
      <x:c r="M71" s="14" t="str">
        <x:v>Table 1; PFMBench details sheet</x:v>
      </x:c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c2142b1c87ce4e1b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8" hidden="0" customWidth="1"/>
    <x:col min="3" max="3" width="17" hidden="0" customWidth="1"/>
    <x:col min="4" max="4" width="15" hidden="0" customWidth="1"/>
    <x:col min="5" max="5" width="15" hidden="0" customWidth="1"/>
    <x:col min="6" max="6" width="15" hidden="0" customWidth="1"/>
    <x:col min="7" max="7" width="17" hidden="0" customWidth="1"/>
    <x:col min="8" max="8" width="35" hidden="0" customWidth="1"/>
    <x:col min="9" max="9" width="18" hidden="0" customWidth="1"/>
    <x:col min="10" max="10" width="43" hidden="0" customWidth="1"/>
  </x:cols>
  <x:sheetData>
    <x:row r="1" ht="38" customHeight="1">
      <x:c r="A1" s="10" t="str">
        <x:v>PFMBENCH | ALL VISIBLE TABLE 1 ENTRIES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6" customHeight="1">
      <x:c r="A2" s="16" t="str">
        <x:v>39 table entries retained. The paper describes 38 tasks; this count discrepancy is not silently reconciled. These are PFMBench's splits, not original PEER/TAPE splits.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6" customHeight="1">
      <x:c r="A4" s="28" t="str">
        <x:v>Source group</x:v>
      </x:c>
      <x:c r="B4" s="28" t="str">
        <x:v>Source task</x:v>
      </x:c>
      <x:c r="C4" s="28" t="str">
        <x:v>Metric</x:v>
      </x:c>
      <x:c r="D4" s="28" t="str">
        <x:v>Train n</x:v>
      </x:c>
      <x:c r="E4" s="28" t="str">
        <x:v>Validation n</x:v>
      </x:c>
      <x:c r="F4" s="28" t="str">
        <x:v>Test n</x:v>
      </x:c>
      <x:c r="G4" s="28" t="str">
        <x:v>Reported mean</x:v>
      </x:c>
      <x:c r="H4" s="28" t="str">
        <x:v>Model / setting</x:v>
      </x:c>
      <x:c r="I4" s="28" t="str">
        <x:v>Paper location</x:v>
      </x:c>
      <x:c r="J4" s="28" t="str">
        <x:v>Primary source</x:v>
      </x:c>
    </x:row>
    <x:row r="5" ht="40" customHeight="1">
      <x:c r="A5" s="14" t="str">
        <x:v>Function</x:v>
      </x:c>
      <x:c r="B5" s="14" t="str">
        <x:v>GO-CC</x:v>
      </x:c>
      <x:c r="C5" s="14" t="str">
        <x:v>F1</x:v>
      </x:c>
      <x:c r="D5" s="36" t="n">
        <x:v>11196</x:v>
      </x:c>
      <x:c r="E5" s="36" t="n">
        <x:v>1398</x:v>
      </x:c>
      <x:c r="F5" s="36" t="n">
        <x:v>1400</x:v>
      </x:c>
      <x:c r="G5" s="40" t="n">
        <x:v>0.613</x:v>
      </x:c>
      <x:c r="H5" s="14" t="str">
        <x:v>ESM2-Adapter; mean of 3 runs</x:v>
      </x:c>
      <x:c r="I5" s="14" t="str">
        <x:v>Table 1</x:v>
      </x:c>
      <x:c r="J5" s="14" t="str">
        <x:v>https://arxiv.org/html/2506.14796v1</x:v>
      </x:c>
    </x:row>
    <x:row r="6" ht="40" customHeight="1">
      <x:c r="A6" s="4" t="str">
        <x:v>Function</x:v>
      </x:c>
      <x:c r="B6" s="4" t="str">
        <x:v>GO-MF</x:v>
      </x:c>
      <x:c r="C6" s="4" t="str">
        <x:v>F1</x:v>
      </x:c>
      <x:c r="D6" s="37" t="n">
        <x:v>22291</x:v>
      </x:c>
      <x:c r="E6" s="37" t="n">
        <x:v>2785</x:v>
      </x:c>
      <x:c r="F6" s="37" t="n">
        <x:v>2787</x:v>
      </x:c>
      <x:c r="G6" s="41" t="n">
        <x:v>0.6488</x:v>
      </x:c>
      <x:c r="H6" s="4" t="str">
        <x:v>ESM2-Adapter; mean of 3 runs</x:v>
      </x:c>
      <x:c r="I6" s="4" t="str">
        <x:v>Table 1</x:v>
      </x:c>
      <x:c r="J6" s="4" t="str">
        <x:v>https://arxiv.org/html/2506.14796v1</x:v>
      </x:c>
    </x:row>
    <x:row r="7" ht="40" customHeight="1">
      <x:c r="A7" s="14" t="str">
        <x:v>Function</x:v>
      </x:c>
      <x:c r="B7" s="14" t="str">
        <x:v>GO-BP</x:v>
      </x:c>
      <x:c r="C7" s="14" t="str">
        <x:v>F1</x:v>
      </x:c>
      <x:c r="D7" s="36" t="n">
        <x:v>21395</x:v>
      </x:c>
      <x:c r="E7" s="36" t="n">
        <x:v>2662</x:v>
      </x:c>
      <x:c r="F7" s="36" t="n">
        <x:v>2664</x:v>
      </x:c>
      <x:c r="G7" s="40" t="n">
        <x:v>0.5412</x:v>
      </x:c>
      <x:c r="H7" s="14" t="str">
        <x:v>ESM2-Adapter; mean of 3 runs</x:v>
      </x:c>
      <x:c r="I7" s="14" t="str">
        <x:v>Table 1</x:v>
      </x:c>
      <x:c r="J7" s="14" t="str">
        <x:v>https://arxiv.org/html/2506.14796v1</x:v>
      </x:c>
    </x:row>
    <x:row r="8" ht="40" customHeight="1">
      <x:c r="A8" s="4" t="str">
        <x:v>Function</x:v>
      </x:c>
      <x:c r="B8" s="4" t="str">
        <x:v>EC</x:v>
      </x:c>
      <x:c r="C8" s="4" t="str">
        <x:v>F1</x:v>
      </x:c>
      <x:c r="D8" s="37" t="n">
        <x:v>13090</x:v>
      </x:c>
      <x:c r="E8" s="37" t="n">
        <x:v>1465</x:v>
      </x:c>
      <x:c r="F8" s="37" t="n">
        <x:v>1604</x:v>
      </x:c>
      <x:c r="G8" s="41" t="n">
        <x:v>0.7379</x:v>
      </x:c>
      <x:c r="H8" s="4" t="str">
        <x:v>ESM2-Adapter; mean of 3 runs</x:v>
      </x:c>
      <x:c r="I8" s="4" t="str">
        <x:v>Table 1</x:v>
      </x:c>
      <x:c r="J8" s="4" t="str">
        <x:v>https://arxiv.org/html/2506.14796v1</x:v>
      </x:c>
    </x:row>
    <x:row r="9" ht="40" customHeight="1">
      <x:c r="A9" s="14" t="str">
        <x:v>Solubility</x:v>
      </x:c>
      <x:c r="B9" s="14" t="str">
        <x:v>DeepSol</x:v>
      </x:c>
      <x:c r="C9" s="14" t="str">
        <x:v>AUROC</x:v>
      </x:c>
      <x:c r="D9" s="36" t="n">
        <x:v>55465</x:v>
      </x:c>
      <x:c r="E9" s="36" t="n">
        <x:v>6932</x:v>
      </x:c>
      <x:c r="F9" s="36" t="n">
        <x:v>6934</x:v>
      </x:c>
      <x:c r="G9" s="40" t="n">
        <x:v>0.8467</x:v>
      </x:c>
      <x:c r="H9" s="14" t="str">
        <x:v>ESM2-Adapter; mean of 3 runs</x:v>
      </x:c>
      <x:c r="I9" s="14" t="str">
        <x:v>Table 1</x:v>
      </x:c>
      <x:c r="J9" s="14" t="str">
        <x:v>https://arxiv.org/html/2506.14796v1</x:v>
      </x:c>
    </x:row>
    <x:row r="10" ht="40" customHeight="1">
      <x:c r="A10" s="4" t="str">
        <x:v>Solubility</x:v>
      </x:c>
      <x:c r="B10" s="4" t="str">
        <x:v>DeepSoluE</x:v>
      </x:c>
      <x:c r="C10" s="4" t="str">
        <x:v>AUROC</x:v>
      </x:c>
      <x:c r="D10" s="37" t="n">
        <x:v>11627</x:v>
      </x:c>
      <x:c r="E10" s="37" t="n">
        <x:v>1452</x:v>
      </x:c>
      <x:c r="F10" s="37" t="n">
        <x:v>1454</x:v>
      </x:c>
      <x:c r="G10" s="41" t="n">
        <x:v>0.7699</x:v>
      </x:c>
      <x:c r="H10" s="4" t="str">
        <x:v>ESM2-Adapter; mean of 3 runs</x:v>
      </x:c>
      <x:c r="I10" s="4" t="str">
        <x:v>Table 1</x:v>
      </x:c>
      <x:c r="J10" s="4" t="str">
        <x:v>https://arxiv.org/html/2506.14796v1</x:v>
      </x:c>
    </x:row>
    <x:row r="11" ht="40" customHeight="1">
      <x:c r="A11" s="14" t="str">
        <x:v>Solubility</x:v>
      </x:c>
      <x:c r="B11" s="14" t="str">
        <x:v>ProtSolM</x:v>
      </x:c>
      <x:c r="C11" s="14" t="str">
        <x:v>AUROC</x:v>
      </x:c>
      <x:c r="D11" s="36" t="n">
        <x:v>57378</x:v>
      </x:c>
      <x:c r="E11" s="36" t="n">
        <x:v>7171</x:v>
      </x:c>
      <x:c r="F11" s="36" t="n">
        <x:v>7173</x:v>
      </x:c>
      <x:c r="G11" s="40" t="n">
        <x:v>0.8572</x:v>
      </x:c>
      <x:c r="H11" s="14" t="str">
        <x:v>ESM2-Adapter; mean of 3 runs</x:v>
      </x:c>
      <x:c r="I11" s="14" t="str">
        <x:v>Table 1</x:v>
      </x:c>
      <x:c r="J11" s="14" t="str">
        <x:v>https://arxiv.org/html/2506.14796v1</x:v>
      </x:c>
    </x:row>
    <x:row r="12" ht="40" customHeight="1">
      <x:c r="A12" s="4" t="str">
        <x:v>Solubility</x:v>
      </x:c>
      <x:c r="B12" s="4" t="str">
        <x:v>eSOL</x:v>
      </x:c>
      <x:c r="C12" s="4" t="str">
        <x:v>Spearman</x:v>
      </x:c>
      <x:c r="D12" s="37" t="n">
        <x:v>2481</x:v>
      </x:c>
      <x:c r="E12" s="37" t="n">
        <x:v>309</x:v>
      </x:c>
      <x:c r="F12" s="37" t="n">
        <x:v>311</x:v>
      </x:c>
      <x:c r="G12" s="41" t="n">
        <x:v>0.2761</x:v>
      </x:c>
      <x:c r="H12" s="4" t="str">
        <x:v>ESM2-Adapter; mean of 3 runs</x:v>
      </x:c>
      <x:c r="I12" s="4" t="str">
        <x:v>Table 1</x:v>
      </x:c>
      <x:c r="J12" s="4" t="str">
        <x:v>https://arxiv.org/html/2506.14796v1</x:v>
      </x:c>
    </x:row>
    <x:row r="13" ht="40" customHeight="1">
      <x:c r="A13" s="14" t="str">
        <x:v>Localization</x:v>
      </x:c>
      <x:c r="B13" s="14" t="str">
        <x:v>DeepLocMulti</x:v>
      </x:c>
      <x:c r="C13" s="14" t="str">
        <x:v>Accuracy</x:v>
      </x:c>
      <x:c r="D13" s="36" t="n">
        <x:v>6992</x:v>
      </x:c>
      <x:c r="E13" s="36" t="n">
        <x:v>749</x:v>
      </x:c>
      <x:c r="F13" s="36" t="n">
        <x:v>751</x:v>
      </x:c>
      <x:c r="G13" s="40" t="n">
        <x:v>0.7666</x:v>
      </x:c>
      <x:c r="H13" s="14" t="str">
        <x:v>ESM2-Adapter; mean of 3 runs</x:v>
      </x:c>
      <x:c r="I13" s="14" t="str">
        <x:v>Table 1</x:v>
      </x:c>
      <x:c r="J13" s="14" t="str">
        <x:v>https://arxiv.org/html/2506.14796v1</x:v>
      </x:c>
    </x:row>
    <x:row r="14" ht="40" customHeight="1">
      <x:c r="A14" s="4" t="str">
        <x:v>Localization</x:v>
      </x:c>
      <x:c r="B14" s="4" t="str">
        <x:v>DeepLoc2Multi</x:v>
      </x:c>
      <x:c r="C14" s="4" t="str">
        <x:v>F1</x:v>
      </x:c>
      <x:c r="D14" s="37" t="n">
        <x:v>21949</x:v>
      </x:c>
      <x:c r="E14" s="37" t="n">
        <x:v>2743</x:v>
      </x:c>
      <x:c r="F14" s="37" t="n">
        <x:v>2744</x:v>
      </x:c>
      <x:c r="G14" s="41" t="n">
        <x:v>0.7505</x:v>
      </x:c>
      <x:c r="H14" s="4" t="str">
        <x:v>ESM2-Adapter; mean of 3 runs</x:v>
      </x:c>
      <x:c r="I14" s="4" t="str">
        <x:v>Table 1</x:v>
      </x:c>
      <x:c r="J14" s="4" t="str">
        <x:v>https://arxiv.org/html/2506.14796v1</x:v>
      </x:c>
    </x:row>
    <x:row r="15" ht="40" customHeight="1">
      <x:c r="A15" s="14" t="str">
        <x:v>Localization</x:v>
      </x:c>
      <x:c r="B15" s="14" t="str">
        <x:v>DeepLocBinary</x:v>
      </x:c>
      <x:c r="C15" s="14" t="str">
        <x:v>AUROC</x:v>
      </x:c>
      <x:c r="D15" s="36" t="n">
        <x:v>6887</x:v>
      </x:c>
      <x:c r="E15" s="36" t="n">
        <x:v>846</x:v>
      </x:c>
      <x:c r="F15" s="36" t="n">
        <x:v>848</x:v>
      </x:c>
      <x:c r="G15" s="40" t="n">
        <x:v>0.9338</x:v>
      </x:c>
      <x:c r="H15" s="14" t="str">
        <x:v>ESM2-Adapter; mean of 3 runs</x:v>
      </x:c>
      <x:c r="I15" s="14" t="str">
        <x:v>Table 1</x:v>
      </x:c>
      <x:c r="J15" s="14" t="str">
        <x:v>https://arxiv.org/html/2506.14796v1</x:v>
      </x:c>
    </x:row>
    <x:row r="16" ht="40" customHeight="1">
      <x:c r="A16" s="4" t="str">
        <x:v>Localization</x:v>
      </x:c>
      <x:c r="B16" s="4" t="str">
        <x:v>SortingSignal</x:v>
      </x:c>
      <x:c r="C16" s="4" t="str">
        <x:v>F1</x:v>
      </x:c>
      <x:c r="D16" s="37" t="n">
        <x:v>1484</x:v>
      </x:c>
      <x:c r="E16" s="37" t="n">
        <x:v>185</x:v>
      </x:c>
      <x:c r="F16" s="37" t="n">
        <x:v>186</x:v>
      </x:c>
      <x:c r="G16" s="41" t="n">
        <x:v>0.8598</x:v>
      </x:c>
      <x:c r="H16" s="4" t="str">
        <x:v>ESM2-Adapter; mean of 3 runs</x:v>
      </x:c>
      <x:c r="I16" s="4" t="str">
        <x:v>Table 1</x:v>
      </x:c>
      <x:c r="J16" s="4" t="str">
        <x:v>https://arxiv.org/html/2506.14796v1</x:v>
      </x:c>
    </x:row>
    <x:row r="17" ht="40" customHeight="1">
      <x:c r="A17" s="14" t="str">
        <x:v>Mutation</x:v>
      </x:c>
      <x:c r="B17" s="14" t="str">
        <x:v>PETA_CHS_SOL</x:v>
      </x:c>
      <x:c r="C17" s="14" t="str">
        <x:v>Spearman</x:v>
      </x:c>
      <x:c r="D17" s="36" t="n">
        <x:v>3872</x:v>
      </x:c>
      <x:c r="E17" s="36" t="n">
        <x:v>484</x:v>
      </x:c>
      <x:c r="F17" s="36" t="n">
        <x:v>484</x:v>
      </x:c>
      <x:c r="G17" s="40" t="n">
        <x:v>0.2738</x:v>
      </x:c>
      <x:c r="H17" s="14" t="str">
        <x:v>ESM2-Adapter; mean of 3 runs</x:v>
      </x:c>
      <x:c r="I17" s="14" t="str">
        <x:v>Table 1</x:v>
      </x:c>
      <x:c r="J17" s="14" t="str">
        <x:v>https://arxiv.org/html/2506.14796v1</x:v>
      </x:c>
    </x:row>
    <x:row r="18" ht="40" customHeight="1">
      <x:c r="A18" s="4" t="str">
        <x:v>Mutation</x:v>
      </x:c>
      <x:c r="B18" s="4" t="str">
        <x:v>PETA_LGK_SOL</x:v>
      </x:c>
      <x:c r="C18" s="4" t="str">
        <x:v>Spearman</x:v>
      </x:c>
      <x:c r="D18" s="37" t="n">
        <x:v>15308</x:v>
      </x:c>
      <x:c r="E18" s="37" t="n">
        <x:v>1914</x:v>
      </x:c>
      <x:c r="F18" s="37" t="n">
        <x:v>1914</x:v>
      </x:c>
      <x:c r="G18" s="41" t="n">
        <x:v>0.1558</x:v>
      </x:c>
      <x:c r="H18" s="4" t="str">
        <x:v>ESM2-Adapter; mean of 3 runs</x:v>
      </x:c>
      <x:c r="I18" s="4" t="str">
        <x:v>Table 1</x:v>
      </x:c>
      <x:c r="J18" s="4" t="str">
        <x:v>https://arxiv.org/html/2506.14796v1</x:v>
      </x:c>
    </x:row>
    <x:row r="19" ht="40" customHeight="1">
      <x:c r="A19" s="14" t="str">
        <x:v>Mutation</x:v>
      </x:c>
      <x:c r="B19" s="14" t="str">
        <x:v>PETA_TEM_SOL</x:v>
      </x:c>
      <x:c r="C19" s="14" t="str">
        <x:v>Spearman</x:v>
      </x:c>
      <x:c r="D19" s="36" t="n">
        <x:v>6444</x:v>
      </x:c>
      <x:c r="E19" s="36" t="n">
        <x:v>808</x:v>
      </x:c>
      <x:c r="F19" s="36" t="n">
        <x:v>808</x:v>
      </x:c>
      <x:c r="G19" s="40" t="n">
        <x:v>0.1433</x:v>
      </x:c>
      <x:c r="H19" s="14" t="str">
        <x:v>ESM2-Adapter; mean of 3 runs</x:v>
      </x:c>
      <x:c r="I19" s="14" t="str">
        <x:v>Table 1</x:v>
      </x:c>
      <x:c r="J19" s="14" t="str">
        <x:v>https://arxiv.org/html/2506.14796v1</x:v>
      </x:c>
    </x:row>
    <x:row r="20" ht="40" customHeight="1">
      <x:c r="A20" s="4" t="str">
        <x:v>Mutation</x:v>
      </x:c>
      <x:c r="B20" s="4" t="str">
        <x:v>FLIP_AAV</x:v>
      </x:c>
      <x:c r="C20" s="4" t="str">
        <x:v>Spearman</x:v>
      </x:c>
      <x:c r="D20" s="37" t="n">
        <x:v>66066</x:v>
      </x:c>
      <x:c r="E20" s="37" t="n">
        <x:v>16517</x:v>
      </x:c>
      <x:c r="F20" s="37" t="n">
        <x:v>16517</x:v>
      </x:c>
      <x:c r="G20" s="41" t="n">
        <x:v>0.9412</x:v>
      </x:c>
      <x:c r="H20" s="4" t="str">
        <x:v>ESM2-Adapter; mean of 3 runs</x:v>
      </x:c>
      <x:c r="I20" s="4" t="str">
        <x:v>Table 1</x:v>
      </x:c>
      <x:c r="J20" s="4" t="str">
        <x:v>https://arxiv.org/html/2506.14796v1</x:v>
      </x:c>
    </x:row>
    <x:row r="21" ht="40" customHeight="1">
      <x:c r="A21" s="14" t="str">
        <x:v>Mutation</x:v>
      </x:c>
      <x:c r="B21" s="14" t="str">
        <x:v>FLIP_GB1</x:v>
      </x:c>
      <x:c r="C21" s="14" t="str">
        <x:v>Spearman</x:v>
      </x:c>
      <x:c r="D21" s="36" t="n">
        <x:v>6988</x:v>
      </x:c>
      <x:c r="E21" s="36" t="n">
        <x:v>1745</x:v>
      </x:c>
      <x:c r="F21" s="36" t="n">
        <x:v>1745</x:v>
      </x:c>
      <x:c r="G21" s="40" t="n">
        <x:v>0.9517</x:v>
      </x:c>
      <x:c r="H21" s="14" t="str">
        <x:v>ESM2-Adapter; mean of 3 runs</x:v>
      </x:c>
      <x:c r="I21" s="14" t="str">
        <x:v>Table 1</x:v>
      </x:c>
      <x:c r="J21" s="14" t="str">
        <x:v>https://arxiv.org/html/2506.14796v1</x:v>
      </x:c>
    </x:row>
    <x:row r="22" ht="40" customHeight="1">
      <x:c r="A22" s="4" t="str">
        <x:v>Mutation</x:v>
      </x:c>
      <x:c r="B22" s="4" t="str">
        <x:v>TAPE_Stab</x:v>
      </x:c>
      <x:c r="C22" s="4" t="str">
        <x:v>Spearman</x:v>
      </x:c>
      <x:c r="D22" s="37" t="n">
        <x:v>55182</x:v>
      </x:c>
      <x:c r="E22" s="37" t="n">
        <x:v>6897</x:v>
      </x:c>
      <x:c r="F22" s="37" t="n">
        <x:v>6898</x:v>
      </x:c>
      <x:c r="G22" s="41" t="n">
        <x:v>0.3211</x:v>
      </x:c>
      <x:c r="H22" s="4" t="str">
        <x:v>ESM2-Adapter; mean of 3 runs</x:v>
      </x:c>
      <x:c r="I22" s="4" t="str">
        <x:v>Table 1</x:v>
      </x:c>
      <x:c r="J22" s="4" t="str">
        <x:v>https://arxiv.org/html/2506.14796v1</x:v>
      </x:c>
    </x:row>
    <x:row r="23" ht="40" customHeight="1">
      <x:c r="A23" s="14" t="str">
        <x:v>Mutation</x:v>
      </x:c>
      <x:c r="B23" s="14" t="str">
        <x:v>TAPE_Fluor</x:v>
      </x:c>
      <x:c r="C23" s="14" t="str">
        <x:v>Spearman</x:v>
      </x:c>
      <x:c r="D23" s="36" t="n">
        <x:v>21446</x:v>
      </x:c>
      <x:c r="E23" s="36" t="n">
        <x:v>5362</x:v>
      </x:c>
      <x:c r="F23" s="36" t="n">
        <x:v>27217</x:v>
      </x:c>
      <x:c r="G23" s="40" t="n">
        <x:v>0.6812</x:v>
      </x:c>
      <x:c r="H23" s="14" t="str">
        <x:v>ESM2-Adapter; mean of 3 runs</x:v>
      </x:c>
      <x:c r="I23" s="14" t="str">
        <x:v>Table 1</x:v>
      </x:c>
      <x:c r="J23" s="14" t="str">
        <x:v>https://arxiv.org/html/2506.14796v1</x:v>
      </x:c>
    </x:row>
    <x:row r="24" ht="40" customHeight="1">
      <x:c r="A24" s="4" t="str">
        <x:v>Mutation</x:v>
      </x:c>
      <x:c r="B24" s="4" t="str">
        <x:v>BetaLactamase</x:v>
      </x:c>
      <x:c r="C24" s="4" t="str">
        <x:v>Spearman</x:v>
      </x:c>
      <x:c r="D24" s="37" t="n">
        <x:v>4158</x:v>
      </x:c>
      <x:c r="E24" s="37" t="n">
        <x:v>520</x:v>
      </x:c>
      <x:c r="F24" s="37" t="n">
        <x:v>520</x:v>
      </x:c>
      <x:c r="G24" s="41" t="n">
        <x:v>0.574</x:v>
      </x:c>
      <x:c r="H24" s="4" t="str">
        <x:v>ESM2-Adapter; mean of 3 runs</x:v>
      </x:c>
      <x:c r="I24" s="4" t="str">
        <x:v>Table 1</x:v>
      </x:c>
      <x:c r="J24" s="4" t="str">
        <x:v>https://arxiv.org/html/2506.14796v1</x:v>
      </x:c>
    </x:row>
    <x:row r="25" ht="40" customHeight="1">
      <x:c r="A25" s="14" t="str">
        <x:v>Interactions</x:v>
      </x:c>
      <x:c r="B25" s="14" t="str">
        <x:v>Human_PPI</x:v>
      </x:c>
      <x:c r="C25" s="14" t="str">
        <x:v>AUROC</x:v>
      </x:c>
      <x:c r="D25" s="36" t="n">
        <x:v>30133</x:v>
      </x:c>
      <x:c r="E25" s="36" t="n">
        <x:v>270</x:v>
      </x:c>
      <x:c r="F25" s="36" t="n">
        <x:v>195</x:v>
      </x:c>
      <x:c r="G25" s="40" t="n">
        <x:v>0.4828</x:v>
      </x:c>
      <x:c r="H25" s="14" t="str">
        <x:v>ESM2-Adapter; mean of 3 runs</x:v>
      </x:c>
      <x:c r="I25" s="14" t="str">
        <x:v>Table 1</x:v>
      </x:c>
      <x:c r="J25" s="14" t="str">
        <x:v>https://arxiv.org/html/2506.14796v1</x:v>
      </x:c>
    </x:row>
    <x:row r="26" ht="40" customHeight="1">
      <x:c r="A26" s="4" t="str">
        <x:v>Interactions</x:v>
      </x:c>
      <x:c r="B26" s="4" t="str">
        <x:v>Yeast_PPI</x:v>
      </x:c>
      <x:c r="C26" s="4" t="str">
        <x:v>AUROC</x:v>
      </x:c>
      <x:c r="D26" s="37" t="n">
        <x:v>4157</x:v>
      </x:c>
      <x:c r="E26" s="37" t="n">
        <x:v>83</x:v>
      </x:c>
      <x:c r="F26" s="37" t="n">
        <x:v>335</x:v>
      </x:c>
      <x:c r="G26" s="41" t="n">
        <x:v>0.5343</x:v>
      </x:c>
      <x:c r="H26" s="4" t="str">
        <x:v>ESM2-Adapter; mean of 3 runs</x:v>
      </x:c>
      <x:c r="I26" s="4" t="str">
        <x:v>Table 1</x:v>
      </x:c>
      <x:c r="J26" s="4" t="str">
        <x:v>https://arxiv.org/html/2506.14796v1</x:v>
      </x:c>
    </x:row>
    <x:row r="27" ht="40" customHeight="1">
      <x:c r="A27" s="14" t="str">
        <x:v>Interactions</x:v>
      </x:c>
      <x:c r="B27" s="14" t="str">
        <x:v>PPI_Affinity</x:v>
      </x:c>
      <x:c r="C27" s="14" t="str">
        <x:v>Spearman</x:v>
      </x:c>
      <x:c r="D27" s="36" t="n">
        <x:v>2421</x:v>
      </x:c>
      <x:c r="E27" s="36" t="n">
        <x:v>203</x:v>
      </x:c>
      <x:c r="F27" s="36" t="n">
        <x:v>326</x:v>
      </x:c>
      <x:c r="G27" s="40" t="n">
        <x:v>-0.0047</x:v>
      </x:c>
      <x:c r="H27" s="14" t="str">
        <x:v>ESM2-Adapter; mean of 3 runs</x:v>
      </x:c>
      <x:c r="I27" s="14" t="str">
        <x:v>Table 1</x:v>
      </x:c>
      <x:c r="J27" s="14" t="str">
        <x:v>https://arxiv.org/html/2506.14796v1</x:v>
      </x:c>
    </x:row>
    <x:row r="28" ht="40" customHeight="1">
      <x:c r="A28" s="4" t="str">
        <x:v>Interactions</x:v>
      </x:c>
      <x:c r="B28" s="4" t="str">
        <x:v>PDBBind</x:v>
      </x:c>
      <x:c r="C28" s="4" t="str">
        <x:v>Spearman</x:v>
      </x:c>
      <x:c r="D28" s="37" t="n">
        <x:v>14687</x:v>
      </x:c>
      <x:c r="E28" s="37" t="n">
        <x:v>1835</x:v>
      </x:c>
      <x:c r="F28" s="37" t="n">
        <x:v>1836</x:v>
      </x:c>
      <x:c r="G28" s="41" t="n">
        <x:v>0.1677</x:v>
      </x:c>
      <x:c r="H28" s="4" t="str">
        <x:v>ESM2-Adapter; mean of 3 runs</x:v>
      </x:c>
      <x:c r="I28" s="4" t="str">
        <x:v>Table 1</x:v>
      </x:c>
      <x:c r="J28" s="4" t="str">
        <x:v>https://arxiv.org/html/2506.14796v1</x:v>
      </x:c>
    </x:row>
    <x:row r="29" ht="40" customHeight="1">
      <x:c r="A29" s="14" t="str">
        <x:v>Interactions</x:v>
      </x:c>
      <x:c r="B29" s="14" t="str">
        <x:v>BindingDB</x:v>
      </x:c>
      <x:c r="C29" s="14" t="str">
        <x:v>Spearman</x:v>
      </x:c>
      <x:c r="D29" s="36" t="n">
        <x:v>9039</x:v>
      </x:c>
      <x:c r="E29" s="36" t="n">
        <x:v>1115</x:v>
      </x:c>
      <x:c r="F29" s="36" t="n">
        <x:v>1139</x:v>
      </x:c>
      <x:c r="G29" s="40" t="n">
        <x:v>0.1922</x:v>
      </x:c>
      <x:c r="H29" s="14" t="str">
        <x:v>ESM2-Adapter; mean of 3 runs</x:v>
      </x:c>
      <x:c r="I29" s="14" t="str">
        <x:v>Table 1</x:v>
      </x:c>
      <x:c r="J29" s="14" t="str">
        <x:v>https://arxiv.org/html/2506.14796v1</x:v>
      </x:c>
    </x:row>
    <x:row r="30" ht="40" customHeight="1">
      <x:c r="A30" s="4" t="str">
        <x:v>Interactions</x:v>
      </x:c>
      <x:c r="B30" s="4" t="str">
        <x:v>MetalIonBinding</x:v>
      </x:c>
      <x:c r="C30" s="4" t="str">
        <x:v>Accuracy</x:v>
      </x:c>
      <x:c r="D30" s="37" t="n">
        <x:v>5740</x:v>
      </x:c>
      <x:c r="E30" s="37" t="n">
        <x:v>717</x:v>
      </x:c>
      <x:c r="F30" s="37" t="n">
        <x:v>718</x:v>
      </x:c>
      <x:c r="G30" s="41" t="n">
        <x:v>0.7066</x:v>
      </x:c>
      <x:c r="H30" s="4" t="str">
        <x:v>ESM2-Adapter; mean of 3 runs</x:v>
      </x:c>
      <x:c r="I30" s="4" t="str">
        <x:v>Table 1</x:v>
      </x:c>
      <x:c r="J30" s="4" t="str">
        <x:v>https://arxiv.org/html/2506.14796v1</x:v>
      </x:c>
    </x:row>
    <x:row r="31" ht="40" customHeight="1">
      <x:c r="A31" s="14" t="str">
        <x:v>Interactions</x:v>
      </x:c>
      <x:c r="B31" s="14" t="str">
        <x:v>Pept.HLA/MHC Aff.</x:v>
      </x:c>
      <x:c r="C31" s="14" t="str">
        <x:v>AUROC</x:v>
      </x:c>
      <x:c r="D31" s="36" t="n">
        <x:v>57357</x:v>
      </x:c>
      <x:c r="E31" s="36" t="n">
        <x:v>7008</x:v>
      </x:c>
      <x:c r="F31" s="36" t="n">
        <x:v>8406</x:v>
      </x:c>
      <x:c r="G31" s="40" t="n">
        <x:v>0.9631</x:v>
      </x:c>
      <x:c r="H31" s="14" t="str">
        <x:v>ESM2-Adapter; mean of 3 runs</x:v>
      </x:c>
      <x:c r="I31" s="14" t="str">
        <x:v>Table 1</x:v>
      </x:c>
      <x:c r="J31" s="14" t="str">
        <x:v>https://arxiv.org/html/2506.14796v1</x:v>
      </x:c>
    </x:row>
    <x:row r="32" ht="40" customHeight="1">
      <x:c r="A32" s="4" t="str">
        <x:v>Interactions</x:v>
      </x:c>
      <x:c r="B32" s="4" t="str">
        <x:v>TCR.PMHC Aff.</x:v>
      </x:c>
      <x:c r="C32" s="4" t="str">
        <x:v>AUROC</x:v>
      </x:c>
      <x:c r="D32" s="37" t="n">
        <x:v>19264</x:v>
      </x:c>
      <x:c r="E32" s="37" t="n">
        <x:v>2265</x:v>
      </x:c>
      <x:c r="F32" s="37" t="n">
        <x:v>2482</x:v>
      </x:c>
      <x:c r="G32" s="41" t="n">
        <x:v>0.9312</x:v>
      </x:c>
      <x:c r="H32" s="4" t="str">
        <x:v>ESM2-Adapter; mean of 3 runs</x:v>
      </x:c>
      <x:c r="I32" s="4" t="str">
        <x:v>Table 1</x:v>
      </x:c>
      <x:c r="J32" s="4" t="str">
        <x:v>https://arxiv.org/html/2506.14796v1</x:v>
      </x:c>
    </x:row>
    <x:row r="33" ht="40" customHeight="1">
      <x:c r="A33" s="14" t="str">
        <x:v>Structure</x:v>
      </x:c>
      <x:c r="B33" s="14" t="str">
        <x:v>Contact</x:v>
      </x:c>
      <x:c r="C33" s="14" t="str">
        <x:v>Top L/5</x:v>
      </x:c>
      <x:c r="D33" s="36" t="n">
        <x:v>12005</x:v>
      </x:c>
      <x:c r="E33" s="36" t="n">
        <x:v>1500</x:v>
      </x:c>
      <x:c r="F33" s="36" t="n">
        <x:v>1501</x:v>
      </x:c>
      <x:c r="G33" s="40" t="n">
        <x:v>0.7199</x:v>
      </x:c>
      <x:c r="H33" s="14" t="str">
        <x:v>ESM2-Adapter; mean of 3 runs</x:v>
      </x:c>
      <x:c r="I33" s="14" t="str">
        <x:v>Table 1</x:v>
      </x:c>
      <x:c r="J33" s="14" t="str">
        <x:v>https://arxiv.org/html/2506.14796v1</x:v>
      </x:c>
    </x:row>
    <x:row r="34" ht="40" customHeight="1">
      <x:c r="A34" s="4" t="str">
        <x:v>Structure</x:v>
      </x:c>
      <x:c r="B34" s="4" t="str">
        <x:v>FoldClass</x:v>
      </x:c>
      <x:c r="C34" s="4" t="str">
        <x:v>Accuracy</x:v>
      </x:c>
      <x:c r="D34" s="37" t="n">
        <x:v>13034</x:v>
      </x:c>
      <x:c r="E34" s="37" t="n">
        <x:v>1628</x:v>
      </x:c>
      <x:c r="F34" s="37" t="n">
        <x:v>1630</x:v>
      </x:c>
      <x:c r="G34" s="41" t="n">
        <x:v>0.7859</x:v>
      </x:c>
      <x:c r="H34" s="4" t="str">
        <x:v>ESM2-Adapter; mean of 3 runs</x:v>
      </x:c>
      <x:c r="I34" s="4" t="str">
        <x:v>Table 1</x:v>
      </x:c>
      <x:c r="J34" s="4" t="str">
        <x:v>https://arxiv.org/html/2506.14796v1</x:v>
      </x:c>
    </x:row>
    <x:row r="35" ht="40" customHeight="1">
      <x:c r="A35" s="14" t="str">
        <x:v>Structure</x:v>
      </x:c>
      <x:c r="B35" s="14" t="str">
        <x:v>SecondaryStructure</x:v>
      </x:c>
      <x:c r="C35" s="14" t="str">
        <x:v>Accuracy</x:v>
      </x:c>
      <x:c r="D35" s="36" t="n">
        <x:v>67007</x:v>
      </x:c>
      <x:c r="E35" s="36" t="n">
        <x:v>8365</x:v>
      </x:c>
      <x:c r="F35" s="36" t="n">
        <x:v>8262</x:v>
      </x:c>
      <x:c r="G35" s="40" t="n">
        <x:v>0.7601</x:v>
      </x:c>
      <x:c r="H35" s="14" t="str">
        <x:v>ESM2-Adapter; mean of 3 runs</x:v>
      </x:c>
      <x:c r="I35" s="14" t="str">
        <x:v>Table 1</x:v>
      </x:c>
      <x:c r="J35" s="14" t="str">
        <x:v>https://arxiv.org/html/2506.14796v1</x:v>
      </x:c>
    </x:row>
    <x:row r="36" ht="40" customHeight="1">
      <x:c r="A36" s="4" t="str">
        <x:v>Production</x:v>
      </x:c>
      <x:c r="B36" s="4" t="str">
        <x:v>Optimal_pH</x:v>
      </x:c>
      <x:c r="C36" s="4" t="str">
        <x:v>Spearman</x:v>
      </x:c>
      <x:c r="D36" s="37" t="n">
        <x:v>7669</x:v>
      </x:c>
      <x:c r="E36" s="37" t="n">
        <x:v>958</x:v>
      </x:c>
      <x:c r="F36" s="37" t="n">
        <x:v>959</x:v>
      </x:c>
      <x:c r="G36" s="41" t="n">
        <x:v>0.0564</x:v>
      </x:c>
      <x:c r="H36" s="4" t="str">
        <x:v>ESM2-Adapter; mean of 3 runs</x:v>
      </x:c>
      <x:c r="I36" s="4" t="str">
        <x:v>Table 1</x:v>
      </x:c>
      <x:c r="J36" s="4" t="str">
        <x:v>https://arxiv.org/html/2506.14796v1</x:v>
      </x:c>
    </x:row>
    <x:row r="37" ht="40" customHeight="1">
      <x:c r="A37" s="14" t="str">
        <x:v>Production</x:v>
      </x:c>
      <x:c r="B37" s="14" t="str">
        <x:v>DeepET_Topt</x:v>
      </x:c>
      <x:c r="C37" s="14" t="str">
        <x:v>Spearman</x:v>
      </x:c>
      <x:c r="D37" s="36" t="n">
        <x:v>1479</x:v>
      </x:c>
      <x:c r="E37" s="36" t="n">
        <x:v>184</x:v>
      </x:c>
      <x:c r="F37" s="36" t="n">
        <x:v>185</x:v>
      </x:c>
      <x:c r="G37" s="40" t="n">
        <x:v>0.2628</x:v>
      </x:c>
      <x:c r="H37" s="14" t="str">
        <x:v>ESM2-Adapter; mean of 3 runs</x:v>
      </x:c>
      <x:c r="I37" s="14" t="str">
        <x:v>Table 1</x:v>
      </x:c>
      <x:c r="J37" s="14" t="str">
        <x:v>https://arxiv.org/html/2506.14796v1</x:v>
      </x:c>
    </x:row>
    <x:row r="38" ht="40" customHeight="1">
      <x:c r="A38" s="4" t="str">
        <x:v>Production</x:v>
      </x:c>
      <x:c r="B38" s="4" t="str">
        <x:v>Cloning_CLF</x:v>
      </x:c>
      <x:c r="C38" s="4" t="str">
        <x:v>AUROC</x:v>
      </x:c>
      <x:c r="D38" s="37" t="n">
        <x:v>22223</x:v>
      </x:c>
      <x:c r="E38" s="37" t="n">
        <x:v>2777</x:v>
      </x:c>
      <x:c r="F38" s="37" t="n">
        <x:v>2778</x:v>
      </x:c>
      <x:c r="G38" s="41" t="n">
        <x:v>0.816</x:v>
      </x:c>
      <x:c r="H38" s="4" t="str">
        <x:v>ESM2-Adapter; mean of 3 runs</x:v>
      </x:c>
      <x:c r="I38" s="4" t="str">
        <x:v>Table 1</x:v>
      </x:c>
      <x:c r="J38" s="4" t="str">
        <x:v>https://arxiv.org/html/2506.14796v1</x:v>
      </x:c>
    </x:row>
    <x:row r="39" ht="40" customHeight="1">
      <x:c r="A39" s="14" t="str">
        <x:v>Production</x:v>
      </x:c>
      <x:c r="B39" s="14" t="str">
        <x:v>Material_Production</x:v>
      </x:c>
      <x:c r="C39" s="14" t="str">
        <x:v>Accuracy</x:v>
      </x:c>
      <x:c r="D39" s="36" t="n">
        <x:v>22196</x:v>
      </x:c>
      <x:c r="E39" s="36" t="n">
        <x:v>2773</x:v>
      </x:c>
      <x:c r="F39" s="36" t="n">
        <x:v>2775</x:v>
      </x:c>
      <x:c r="G39" s="40" t="n">
        <x:v>0.7982</x:v>
      </x:c>
      <x:c r="H39" s="14" t="str">
        <x:v>ESM2-Adapter; mean of 3 runs</x:v>
      </x:c>
      <x:c r="I39" s="14" t="str">
        <x:v>Table 1</x:v>
      </x:c>
      <x:c r="J39" s="14" t="str">
        <x:v>https://arxiv.org/html/2506.14796v1</x:v>
      </x:c>
    </x:row>
    <x:row r="40" ht="40" customHeight="1">
      <x:c r="A40" s="4" t="str">
        <x:v>Production</x:v>
      </x:c>
      <x:c r="B40" s="4" t="str">
        <x:v>Enzyme_Eff.</x:v>
      </x:c>
      <x:c r="C40" s="4" t="str">
        <x:v>Spearman</x:v>
      </x:c>
      <x:c r="D40" s="37" t="n">
        <x:v>10363</x:v>
      </x:c>
      <x:c r="E40" s="37" t="n">
        <x:v>1298</x:v>
      </x:c>
      <x:c r="F40" s="37" t="n">
        <x:v>1290</x:v>
      </x:c>
      <x:c r="G40" s="41" t="n">
        <x:v>0.2173</x:v>
      </x:c>
      <x:c r="H40" s="4" t="str">
        <x:v>ESM2-Adapter; mean of 3 runs</x:v>
      </x:c>
      <x:c r="I40" s="4" t="str">
        <x:v>Table 1</x:v>
      </x:c>
      <x:c r="J40" s="4" t="str">
        <x:v>https://arxiv.org/html/2506.14796v1</x:v>
      </x:c>
    </x:row>
    <x:row r="41" ht="40" customHeight="1">
      <x:c r="A41" s="14" t="str">
        <x:v>Production</x:v>
      </x:c>
      <x:c r="B41" s="14" t="str">
        <x:v>Antib._Res.</x:v>
      </x:c>
      <x:c r="C41" s="14" t="str">
        <x:v>Accuracy</x:v>
      </x:c>
      <x:c r="D41" s="36" t="n">
        <x:v>2703</x:v>
      </x:c>
      <x:c r="E41" s="36" t="n">
        <x:v>336</x:v>
      </x:c>
      <x:c r="F41" s="36" t="n">
        <x:v>339</x:v>
      </x:c>
      <x:c r="G41" s="40" t="n">
        <x:v>0.6185</x:v>
      </x:c>
      <x:c r="H41" s="14" t="str">
        <x:v>ESM2-Adapter; mean of 3 runs</x:v>
      </x:c>
      <x:c r="I41" s="14" t="str">
        <x:v>Table 1</x:v>
      </x:c>
      <x:c r="J41" s="14" t="str">
        <x:v>https://arxiv.org/html/2506.14796v1</x:v>
      </x:c>
    </x:row>
    <x:row r="42" ht="40" customHeight="1">
      <x:c r="A42" s="4" t="str">
        <x:v>Production</x:v>
      </x:c>
      <x:c r="B42" s="4" t="str">
        <x:v>Thermostability</x:v>
      </x:c>
      <x:c r="C42" s="4" t="str">
        <x:v>AUROC</x:v>
      </x:c>
      <x:c r="D42" s="37" t="n">
        <x:v>33474</x:v>
      </x:c>
      <x:c r="E42" s="37" t="n">
        <x:v>4184</x:v>
      </x:c>
      <x:c r="F42" s="37" t="n">
        <x:v>4184</x:v>
      </x:c>
      <x:c r="G42" s="41" t="n">
        <x:v>0.9553</x:v>
      </x:c>
      <x:c r="H42" s="4" t="str">
        <x:v>ESM2-Adapter; mean of 3 runs</x:v>
      </x:c>
      <x:c r="I42" s="4" t="str">
        <x:v>Table 1</x:v>
      </x:c>
      <x:c r="J42" s="4" t="str">
        <x:v>https://arxiv.org/html/2506.14796v1</x:v>
      </x:c>
    </x:row>
    <x:row r="43" ht="40" customHeight="1">
      <x:c r="A43" s="14" t="str">
        <x:v>Zero-shot</x:v>
      </x:c>
      <x:c r="B43" s="14" t="str">
        <x:v>ProteinGym</x:v>
      </x:c>
      <x:c r="C43" s="14" t="str">
        <x:v>Spearman</x:v>
      </x:c>
      <x:c r="D43" s="36"/>
      <x:c r="E43" s="36"/>
      <x:c r="F43" s="36"/>
      <x:c r="G43" s="40" t="n">
        <x:v>0.439</x:v>
      </x:c>
      <x:c r="H43" s="14" t="str">
        <x:v>ESM2 zero-shot</x:v>
      </x:c>
      <x:c r="I43" s="14" t="str">
        <x:v>Table 1</x:v>
      </x:c>
      <x:c r="J43" s="14" t="str">
        <x:v>https://arxiv.org/html/2506.14796v1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778d30ab74b84743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45" hidden="0" customWidth="1"/>
    <x:col min="3" max="3" width="38" hidden="0" customWidth="1"/>
    <x:col min="4" max="4" width="45" hidden="0" customWidth="1"/>
    <x:col min="5" max="5" width="47" hidden="0" customWidth="1"/>
    <x:col min="6" max="6" width="40" hidden="0" customWidth="1"/>
  </x:cols>
  <x:sheetData>
    <x:row r="1" ht="38" customHeight="1">
      <x:c r="A1" s="10" t="str">
        <x:v>CASES, PROXIES AND INTERNAL DIAGNOSTICS</x:v>
      </x:c>
      <x:c r="B1" s="10"/>
      <x:c r="C1" s="10"/>
      <x:c r="D1" s="10"/>
      <x:c r="E1" s="10"/>
      <x:c r="F1" s="10"/>
    </x:row>
    <x:row r="2" ht="36" customHeight="1">
      <x:c r="A2" s="16" t="str">
        <x:v>Retained for completeness but not promoted to independent public test sets. Prospective laboratory campaigns remain distinct from simulated or predictor-scored cases.</x:v>
      </x:c>
      <x:c r="B2" s="16"/>
      <x:c r="C2" s="16"/>
      <x:c r="D2" s="16"/>
      <x:c r="E2" s="16"/>
      <x:c r="F2" s="16"/>
    </x:row>
    <x:row r="3" ht="10" customHeight="1">
      <x:c r="A3" s="4"/>
      <x:c r="B3" s="4"/>
      <x:c r="C3" s="4"/>
      <x:c r="D3" s="4"/>
      <x:c r="E3" s="4"/>
      <x:c r="F3" s="4"/>
    </x:row>
    <x:row r="4" ht="36" customHeight="1">
      <x:c r="A4" s="28" t="str">
        <x:v>Task / evaluation</x:v>
      </x:c>
      <x:c r="B4" s="28" t="str">
        <x:v>Task Evaluation targets &amp; size</x:v>
      </x:c>
      <x:c r="C4" s="28" t="str">
        <x:v>Example Questions</x:v>
      </x:c>
      <x:c r="D4" s="28" t="str">
        <x:v>Reported results</x:v>
      </x:c>
      <x:c r="E4" s="28" t="str">
        <x:v>Status / limitation</x:v>
      </x:c>
      <x:c r="F4" s="28" t="str">
        <x:v>Primary sources</x:v>
      </x:c>
    </x:row>
    <x:row r="5" ht="98" customHeight="1">
      <x:c r="A5" s="14" t="str">
        <x:v>ProtST text-to-protein retrieval examples</x:v>
      </x:c>
      <x:c r="B5" s="14" t="str">
        <x:v>Can a functional description retrieve relevant proteins?
Selected queries such as heme binding; not a universal, fixed retrieval benchmark with one headline Recall@K.</x:v>
      </x:c>
      <x:c r="C5" s="14" t="str">
        <x:v>Can a functional description retrieve relevant proteins?</x:v>
      </x:c>
      <x:c r="D5" s="14" t="str">
        <x:v>Selected text-to-protein retrieval and docking case studies are reported; no single fixed-corpus Recall@K benchmark result is transcribed.</x:v>
      </x:c>
      <x:c r="E5" s="14" t="str">
        <x:v>Retrieval case study
Docking and known annotations support case analysis; they do not prove all retrieved candidates bind experimentally.</x:v>
      </x:c>
      <x:c r="F5" s="14" t="str">
        <x:v>https://proceedings.mlr.press/v202/xu23t/xu23t.pdf</x:v>
      </x:c>
    </x:row>
    <x:row r="6" ht="112" customHeight="1">
      <x:c r="A6" s="4" t="str">
        <x:v>BioReason-Pro explanation review</x:v>
      </x:c>
      <x:c r="B6" s="4" t="str">
        <x:v>Are the generated functional explanations helpful and consistent with the reference evidence?
Separate from the 8,630-protein GO-label metric; exact scored explanation subset not established here.</x:v>
      </x:c>
      <x:c r="C6" s="4" t="str">
        <x:v>Are the generated functional explanations helpful and consistent with the reference evidence?</x:v>
      </x:c>
      <x:c r="D6" s="4" t="str">
        <x:v>Repository reports an LLM-judge score of 8/10 and expert preference over UniProt descriptions in 79% of reviewed cases.</x:v>
      </x:c>
      <x:c r="E6" s="4" t="str">
        <x:v>Judged explanation subset
Correct GO labels do not guarantee that every intermediate statement is true.</x:v>
      </x:c>
      <x:c r="F6" s="4" t="str">
        <x:v>https://www.biorxiv.org/content/10.64898/2026.03.19.712954v2.full</x:v>
      </x:c>
    </x:row>
    <x:row r="7" ht="98" customHeight="1">
      <x:c r="A7" s="14" t="str">
        <x:v>MutaPLM iterative optimization</x:v>
      </x:c>
      <x:c r="B7" s="14" t="str">
        <x:v>Do iterative proposals improve the predicted assay objective?
Six landscapes: AAV, AMIE, avGFP, E4B, LGK, UBE2I; 20 independent runs; preserve beam/search settings.</x:v>
      </x:c>
      <x:c r="C7" s="14" t="str">
        <x:v>Do iterative proposals improve the predicted assay objective?</x:v>
      </x:c>
      <x:c r="D7" s="14" t="str">
        <x:v>The paper reports predicted-fitness improvement trajectories across six landscapes; these are oracle-based search outcomes, not experimentally measured hit rates.</x:v>
      </x:c>
      <x:c r="E7" s="14" t="str">
        <x:v>Predictor-scored search experiment
A learned scorer can be exploited; this experiment is not prospective laboratory success.</x:v>
      </x:c>
      <x:c r="F7" s="14" t="str">
        <x:v>https://arxiv.org/html/2410.22949v1</x:v>
      </x:c>
    </x:row>
    <x:row r="8" ht="84" customHeight="1">
      <x:c r="A8" s="4" t="str">
        <x:v>BioT5+ description-guided protein generation</x:v>
      </x:c>
      <x:c r="B8" s="4" t="str">
        <x:v>Can the model propose a sequence matching a description?
The paper does not define a generally established benchmark for this task.</x:v>
      </x:c>
      <x:c r="C8" s="4" t="str">
        <x:v>Can the model propose a sequence matching a description?</x:v>
      </x:c>
      <x:c r="D8" s="4" t="str">
        <x:v>Description-guided protein designs are presented as qualitative cases rather than a fixed, experimentally validated design-success rate.</x:v>
      </x:c>
      <x:c r="E8" s="4" t="str">
        <x:v>Qualitative design case
A plausible or similar sequence is not a measured successful design.</x:v>
      </x:c>
      <x:c r="F8" s="4" t="str">
        <x:v>https://arxiv.org/html/2402.17810v2</x:v>
      </x:c>
    </x:row>
    <x:row r="9" ht="182" customHeight="1">
      <x:c r="A9" s="14" t="str">
        <x:v>NatureLM generated proteins: unconditional / property-conditioned / heme</x:v>
      </x:c>
      <x:c r="B9" s="14" t="str">
        <x:v>Does the model generate varied, structurally plausible protein sequences? / Do sequences requested to have a property score well under the evaluator? / Can conditioning suggest proteins plausibly associated with heme?
Generated samples compared with natural sequences; not a labeled holdout prediction set. | Paper uses a natural UR50 reference subset of 1,000 sequences in the conditioned comparison. | Selected candidates; no standard released labeled test-set size.</x:v>
      </x:c>
      <x:c r="C9" s="14" t="str">
        <x:v>Does the model generate varied, structurally plausible protein sequences? Do sequences requested to have a property score well under the evaluator? Can conditioning suggest proteins plausibly associated with heme?</x:v>
      </x:c>
      <x:c r="D9" s="14" t="str">
        <x:v>Reported outputs are diversity/length distributions and predicted structural confidence. No experimentally measured function-success fraction is supplied by this evaluation.
The reported comparison uses learned stability/solubility scores and diversity. No measured stability/solubility success rate is transcribed.
Selected heme-binding candidates are screened with descriptions and predicted complexes; this is not experimentally demonstrated heme binding.</x:v>
      </x:c>
      <x:c r="E9" s="14" t="str">
        <x:v>Predictor-scored or qualitative design
Diversity and predicted structure confidence do not establish function. | Predictor agreement, not experimentally measured stability/solubility of each generated sequence. | Self-description is not independent validation; predicted complexes are not measured binding.</x:v>
      </x:c>
      <x:c r="F9" s="14" t="str">
        <x:v>https://arxiv.org/html/2502.07527v3</x:v>
      </x:c>
    </x:row>
    <x:row r="10" ht="98" customHeight="1">
      <x:c r="A10" s="4" t="str">
        <x:v>STRIDE GFP sequence optimization</x:v>
      </x:c>
      <x:c r="B10" s="4" t="str">
        <x:v>Do proposed edits improve the fixed scorer's predicted fluorescence?
100 candidates per method from a common source; separate replace-only and full-edit settings.</x:v>
      </x:c>
      <x:c r="C10" s="4" t="str">
        <x:v>Do proposed edits improve the fixed scorer's predicted fluorescence?</x:v>
      </x:c>
      <x:c r="D10" s="4" t="str">
        <x:v>Fixed fluorescence-oracle successes: full edit setting 89/100 for STRIDE vs 42/100 SFT; replace-only 61/100 vs 55/100 SFT.</x:v>
      </x:c>
      <x:c r="E10" s="4" t="str">
        <x:v>Predictor-scored generation
These 100 candidates are not a wet-lab test set. Correctly applying edits does not validate fluorescence.</x:v>
      </x:c>
      <x:c r="F10" s="4" t="str">
        <x:v>https://arxiv.org/html/2603.03573v1</x:v>
      </x:c>
    </x:row>
    <x:row r="11" ht="98" customHeight="1">
      <x:c r="A11" s="14" t="str">
        <x:v>Prompteina text-conditioned protein design — GM2A campaign</x:v>
      </x:c>
      <x:c r="B11" s="14" t="str">
        <x:v>Generate target binders from language specifications; measure selected designs prospectively.
1,000-design computational budget; 90 selected; 89 expressed and assayed.</x:v>
      </x:c>
      <x:c r="C11" s="14" t="str">
        <x:v>Design a binder satisfying these structural/interface specifications for GM2A.</x:v>
      </x:c>
      <x:c r="D11" s="14" t="str">
        <x:v>9 of 89 assayed designs classified as binders; 8 fitted apparent KD values. Strongest apparent KD: 107 nM.</x:v>
      </x:c>
      <x:c r="E11" s="14" t="str">
        <x:v>Prospective experimental campaign
A single target campaign, not a general fixed test set or aggregate success rate. 52.4M captions is a training size.</x:v>
      </x:c>
      <x:c r="F11" s="14" t="str">
        <x:v>https://arxiv.org/html/2610.13917v1</x:v>
      </x:c>
    </x:row>
    <x:row r="12" ht="98" customHeight="1">
      <x:c r="A12" s="4" t="str">
        <x:v>Proteo-R1 internal alignment / structural / CDR diagnostics</x:v>
      </x:c>
      <x:c r="B12" s="4" t="str">
        <x:v>Check training-stage behavior on calculated structural questions and output-schema tasks.
Independent held-out question manifest and size unresolved; 9.09M is Stage-II TRAINING instances.</x:v>
      </x:c>
      <x:c r="C12" s="4" t="str">
        <x:v>Which residues contact; where is the interface; return the requested CDR schema.</x:v>
      </x:c>
      <x:c r="D12" s="4" t="str">
        <x:v>Selected Stage-II M3: contact 58.3%; interface 15.1%; hotspot 11.6%. Separate Stage-I schema 81.4%. No overall score.</x:v>
      </x:c>
      <x:c r="E12" s="4" t="str">
        <x:v>Internal diagnostic — holdout unresolved
Not a named released PDB benchmark. Eight-response averages are not pass@8. No evidence of leakage is inferred from missing documentation.</x:v>
      </x:c>
      <x:c r="F12" s="4" t="str">
        <x:v>https://arxiv.org/html/2605.02937v1</x:v>
      </x:c>
    </x:row>
    <x:row r="13" ht="84" customHeight="1">
      <x:c r="A13" s="14" t="str">
        <x:v>Ryze document-extraction component tests</x:v>
      </x:c>
      <x:c r="B13" s="14" t="str">
        <x:v>Does document/figure extraction preserve information needed for answering questions?
Auxiliary component evaluation, separate from final LAB-Bench scores.</x:v>
      </x:c>
      <x:c r="C13" s="14" t="str">
        <x:v>Does document/figure extraction preserve information needed for answering questions?</x:v>
      </x:c>
      <x:c r="D13" s="14" t="str">
        <x:v>Ryze extraction-component accuracy: ArXivQA 73.12%, SlideVQA 66.48%, ChartQA 75.8%.</x:v>
      </x:c>
      <x:c r="E13" s="14" t="str">
        <x:v>Component ablation
These tests evaluate extraction/document understanding, not protein engineering.</x:v>
      </x:c>
      <x:c r="F13" s="14" t="str">
        <x:v>https://arxiv.org/html/2606.00902v1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8060f37ca0684f7f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7" hidden="0" customWidth="1"/>
    <x:col min="2" max="2" width="41" hidden="0" customWidth="1"/>
    <x:col min="3" max="3" width="40" hidden="0" customWidth="1"/>
    <x:col min="4" max="4" width="46" hidden="0" customWidth="1"/>
    <x:col min="5" max="5" width="39" hidden="0" customWidth="1"/>
    <x:col min="6" max="6" width="42" hidden="0" customWidth="1"/>
  </x:cols>
  <x:sheetData>
    <x:row r="1" ht="38" customHeight="1">
      <x:c r="A1" s="10" t="str">
        <x:v>PROTEO-R1 | BACKUP DIAGNOSTIC VALUES</x:v>
      </x:c>
      <x:c r="B1" s="10"/>
      <x:c r="C1" s="10"/>
      <x:c r="D1" s="10"/>
      <x:c r="E1" s="10"/>
      <x:c r="F1" s="10"/>
    </x:row>
    <x:row r="2" ht="36" customHeight="1">
      <x:c r="A2" s="16" t="str">
        <x:v>This is backup for interpreting the model's training-stage behavior. It is not a released benchmark list, and its training count is not an evaluation denominator.</x:v>
      </x:c>
      <x:c r="B2" s="16"/>
      <x:c r="C2" s="16"/>
      <x:c r="D2" s="16"/>
      <x:c r="E2" s="16"/>
      <x:c r="F2" s="16"/>
    </x:row>
    <x:row r="3" ht="10" customHeight="1">
      <x:c r="A3" s="4"/>
      <x:c r="B3" s="4"/>
      <x:c r="C3" s="4"/>
      <x:c r="D3" s="4"/>
      <x:c r="E3" s="4"/>
      <x:c r="F3" s="4"/>
    </x:row>
    <x:row r="4" ht="36" customHeight="1">
      <x:c r="A4" s="28" t="str">
        <x:v>Diagnostic</x:v>
      </x:c>
      <x:c r="B4" s="28" t="str">
        <x:v>Target</x:v>
      </x:c>
      <x:c r="C4" s="28" t="str">
        <x:v>Illustrative question</x:v>
      </x:c>
      <x:c r="D4" s="28" t="str">
        <x:v>Reported result</x:v>
      </x:c>
      <x:c r="E4" s="28" t="str">
        <x:v>Status</x:v>
      </x:c>
      <x:c r="F4" s="28" t="str">
        <x:v>Source</x:v>
      </x:c>
    </x:row>
    <x:row r="5" ht="56" customHeight="1">
      <x:c r="A5" s="14" t="str">
        <x:v>Stage I — chain-level schema</x:v>
      </x:c>
      <x:c r="B5" s="14" t="str">
        <x:v>Recover chain count, length bins and structural summaries; schema accuracy.</x:v>
      </x:c>
      <x:c r="C5" s="14" t="str">
        <x:v>Given these protein representations, summarize the chains and their structural characteristics.</x:v>
      </x:c>
      <x:c r="D5" s="14" t="str">
        <x:v>10,000-step result: sequence + structure 81.4%; sequence only 80.3%; structure only 71.7% overall schema accuracy.</x:v>
      </x:c>
      <x:c r="E5" s="14" t="str">
        <x:v>Internal diagnostic; independent holdout manifest unresolved.</x:v>
      </x:c>
      <x:c r="F5" s="14" t="str">
        <x:v>https://arxiv.org/html/2605.02937v1</x:v>
      </x:c>
    </x:row>
    <x:row r="6" ht="42" customHeight="1">
      <x:c r="A6" s="4" t="str">
        <x:v>Stage II — Residue identity</x:v>
      </x:c>
      <x:c r="B6" s="4" t="str">
        <x:v>Amino-acid identity at the requested chain/position.</x:v>
      </x:c>
      <x:c r="C6" s="4" t="str">
        <x:v>Which amino acid is at the specified residue index?</x:v>
      </x:c>
      <x:c r="D6" s="4" t="str">
        <x:v>Task is defined, but no separate RR accuracy appears in Table 12.</x:v>
      </x:c>
      <x:c r="E6" s="4" t="str">
        <x:v>Internal diagnostic; independent holdout manifest unresolved.</x:v>
      </x:c>
      <x:c r="F6" s="4" t="str">
        <x:v>https://arxiv.org/html/2605.02937v1</x:v>
      </x:c>
    </x:row>
    <x:row r="7" ht="42" customHeight="1">
      <x:c r="A7" s="14" t="str">
        <x:v>Stage II — Secondary structure</x:v>
      </x:c>
      <x:c r="B7" s="14" t="str">
        <x:v>H/E/C local secondary-structure labels.</x:v>
      </x:c>
      <x:c r="C7" s="14" t="str">
        <x:v>Is each residue in this segment classified as helix, strand, or coil?</x:v>
      </x:c>
      <x:c r="D7" s="14" t="str">
        <x:v>M3 average task accuracy: 55.5%.</x:v>
      </x:c>
      <x:c r="E7" s="14" t="str">
        <x:v>Internal diagnostic; independent holdout manifest unresolved.</x:v>
      </x:c>
      <x:c r="F7" s="14" t="str">
        <x:v>https://arxiv.org/html/2605.02937v1</x:v>
      </x:c>
    </x:row>
    <x:row r="8" ht="42" customHeight="1">
      <x:c r="A8" s="4" t="str">
        <x:v>Stage II — Solvent exposure</x:v>
      </x:c>
      <x:c r="B8" s="4" t="str">
        <x:v>Buried/medium/exposed bins.</x:v>
      </x:c>
      <x:c r="C8" s="4" t="str">
        <x:v>Which residues in this segment are buried or solvent-exposed?</x:v>
      </x:c>
      <x:c r="D8" s="4" t="str">
        <x:v>M3 average task accuracy: 59.4%.</x:v>
      </x:c>
      <x:c r="E8" s="4" t="str">
        <x:v>Internal diagnostic; independent holdout manifest unresolved.</x:v>
      </x:c>
      <x:c r="F8" s="4" t="str">
        <x:v>https://arxiv.org/html/2605.02937v1</x:v>
      </x:c>
    </x:row>
    <x:row r="9" ht="42" customHeight="1">
      <x:c r="A9" s="14" t="str">
        <x:v>Stage II — Pairwise distance</x:v>
      </x:c>
      <x:c r="B9" s="14" t="str">
        <x:v>Discretized distance-bin labels.</x:v>
      </x:c>
      <x:c r="C9" s="14" t="str">
        <x:v>Which distance bin contains the distance between these two residues?</x:v>
      </x:c>
      <x:c r="D9" s="14" t="str">
        <x:v>M3 average task accuracy: 39.6%.</x:v>
      </x:c>
      <x:c r="E9" s="14" t="str">
        <x:v>Internal diagnostic; independent holdout manifest unresolved.</x:v>
      </x:c>
      <x:c r="F9" s="14" t="str">
        <x:v>https://arxiv.org/html/2605.02937v1</x:v>
      </x:c>
    </x:row>
    <x:row r="10" ht="42" customHeight="1">
      <x:c r="A10" s="4" t="str">
        <x:v>Stage II — Residue contacts</x:v>
      </x:c>
      <x:c r="B10" s="4" t="str">
        <x:v>Contact versus NotContact under the stated definition.</x:v>
      </x:c>
      <x:c r="C10" s="4" t="str">
        <x:v>Are the specified two residues in contact?</x:v>
      </x:c>
      <x:c r="D10" s="4" t="str">
        <x:v>M3 average task accuracy: 58.3%.</x:v>
      </x:c>
      <x:c r="E10" s="4" t="str">
        <x:v>Internal diagnostic; independent holdout manifest unresolved.</x:v>
      </x:c>
      <x:c r="F10" s="4" t="str">
        <x:v>https://arxiv.org/html/2605.02937v1</x:v>
      </x:c>
    </x:row>
    <x:row r="11" ht="42" customHeight="1">
      <x:c r="A11" s="14" t="str">
        <x:v>Stage II — Batched geometry questions</x:v>
      </x:c>
      <x:c r="B11" s="14" t="str">
        <x:v>Structured answers to multiple pairwise queries.</x:v>
      </x:c>
      <x:c r="C11" s="14" t="str">
        <x:v>Return a distance/contact answer for each listed residue pair.</x:v>
      </x:c>
      <x:c r="D11" s="14" t="str">
        <x:v>M3 average task accuracy: 83.1%.</x:v>
      </x:c>
      <x:c r="E11" s="14" t="str">
        <x:v>Internal diagnostic; independent holdout manifest unresolved.</x:v>
      </x:c>
      <x:c r="F11" s="14" t="str">
        <x:v>https://arxiv.org/html/2605.02937v1</x:v>
      </x:c>
    </x:row>
    <x:row r="12" ht="42" customHeight="1">
      <x:c r="A12" s="4" t="str">
        <x:v>Stage II — Interacting chains</x:v>
      </x:c>
      <x:c r="B12" s="4" t="str">
        <x:v>Set of interacting chain pairs.</x:v>
      </x:c>
      <x:c r="C12" s="4" t="str">
        <x:v>Which pairs of chains interact in this complex?</x:v>
      </x:c>
      <x:c r="D12" s="4" t="str">
        <x:v>M3 average task accuracy: 90.6%.</x:v>
      </x:c>
      <x:c r="E12" s="4" t="str">
        <x:v>Internal diagnostic; independent holdout manifest unresolved.</x:v>
      </x:c>
      <x:c r="F12" s="4" t="str">
        <x:v>https://arxiv.org/html/2605.02937v1</x:v>
      </x:c>
    </x:row>
    <x:row r="13" ht="42" customHeight="1">
      <x:c r="A13" s="14" t="str">
        <x:v>Stage II — Hotspot localization</x:v>
      </x:c>
      <x:c r="B13" s="14" t="str">
        <x:v>Top-k hotspot residue indices under calculated structure-derived labels.</x:v>
      </x:c>
      <x:c r="C13" s="14" t="str">
        <x:v>Which residues are labeled as hotspots for this chain pair?</x:v>
      </x:c>
      <x:c r="D13" s="14" t="str">
        <x:v>M3 average task accuracy: 11.6%.</x:v>
      </x:c>
      <x:c r="E13" s="14" t="str">
        <x:v>Internal diagnostic; independent holdout manifest unresolved.</x:v>
      </x:c>
      <x:c r="F13" s="14" t="str">
        <x:v>https://arxiv.org/html/2605.02937v1</x:v>
      </x:c>
    </x:row>
    <x:row r="14" ht="42" customHeight="1">
      <x:c r="A14" s="4" t="str">
        <x:v>Stage II — Interface localization</x:v>
      </x:c>
      <x:c r="B14" s="4" t="str">
        <x:v>Top-k interface residue indices.</x:v>
      </x:c>
      <x:c r="C14" s="4" t="str">
        <x:v>Which residues lie at the interface between these chains?</x:v>
      </x:c>
      <x:c r="D14" s="4" t="str">
        <x:v>M3 average task accuracy: 15.1%.</x:v>
      </x:c>
      <x:c r="E14" s="4" t="str">
        <x:v>Internal diagnostic; independent holdout manifest unresolved.</x:v>
      </x:c>
      <x:c r="F14" s="4" t="str">
        <x:v>https://arxiv.org/html/2605.02937v1</x:v>
      </x:c>
    </x:row>
    <x:row r="15" ht="42" customHeight="1">
      <x:c r="A15" s="14" t="str">
        <x:v>Stage II — Salt bridges</x:v>
      </x:c>
      <x:c r="B15" s="14" t="str">
        <x:v>Salt-bridge presence/count-bin labels.</x:v>
      </x:c>
      <x:c r="C15" s="14" t="str">
        <x:v>Does this chain pair contain salt bridges, and in which count bin?</x:v>
      </x:c>
      <x:c r="D15" s="14" t="str">
        <x:v>M3 average task accuracy: 46.9%.</x:v>
      </x:c>
      <x:c r="E15" s="14" t="str">
        <x:v>Internal diagnostic; independent holdout manifest unresolved.</x:v>
      </x:c>
      <x:c r="F15" s="14" t="str">
        <x:v>https://arxiv.org/html/2605.02937v1</x:v>
      </x:c>
    </x:row>
    <x:row r="16" ht="42" customHeight="1">
      <x:c r="A16" s="4" t="str">
        <x:v>Stage II — Strongest chain pair</x:v>
      </x:c>
      <x:c r="B16" s="4" t="str">
        <x:v>Top chain pair under the paper's contact-strength proxy.</x:v>
      </x:c>
      <x:c r="C16" s="4" t="str">
        <x:v>Which chain pair has the strongest interaction under the defined proxy?</x:v>
      </x:c>
      <x:c r="D16" s="4" t="str">
        <x:v>M3 average task accuracy: 100.0%; NOT 100% measured-affinity prediction.</x:v>
      </x:c>
      <x:c r="E16" s="4" t="str">
        <x:v>Internal diagnostic; independent holdout manifest unresolved.</x:v>
      </x:c>
      <x:c r="F16" s="4" t="str">
        <x:v>https://arxiv.org/html/2605.02937v1</x:v>
      </x:c>
    </x:row>
    <x:row r="17" ht="56" customHeight="1">
      <x:c r="A17" s="14" t="str">
        <x:v>Stage III — understanding-expert CDR JSON</x:v>
      </x:c>
      <x:c r="B17" s="14" t="str">
        <x:v>Structured per-loop CDR sequence output; exact match and residue accuracy.</x:v>
      </x:c>
      <x:c r="C17" s="14" t="str">
        <x:v>Given the masked antibody context, return the sequences of its CDR loops.</x:v>
      </x:c>
      <x:c r="D17" s="14" t="str">
        <x:v>Playback + Thinking: CDR-set match 95.77%, sequence exact-match rate 1.08%, residue position accuracy 33.85%.</x:v>
      </x:c>
      <x:c r="E17" s="14" t="str">
        <x:v>Internal diagnostic; independent holdout manifest unresolved.</x:v>
      </x:c>
      <x:c r="F17" s="14" t="str">
        <x:v>https://arxiv.org/html/2605.02937v1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94594ce789a042ff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100" hidden="0" customWidth="1"/>
  </x:cols>
  <x:sheetData>
    <x:row r="1" ht="38" customHeight="1">
      <x:c r="A1" s="10" t="str">
        <x:v>LEGEND | HOW TO READ THE CATALOG</x:v>
      </x:c>
      <x:c r="B1" s="10"/>
    </x:row>
    <x:row r="2" ht="36" customHeight="1">
      <x:c r="A2" s="16" t="str">
        <x:v>Labels describe evidence and access, not whether a model will perform well.</x:v>
      </x:c>
      <x:c r="B2" s="16"/>
    </x:row>
    <x:row r="3" ht="10" customHeight="1">
      <x:c r="A3" s="4"/>
      <x:c r="B3" s="4"/>
    </x:row>
    <x:row r="4" ht="36" customHeight="1">
      <x:c r="A4" s="28" t="str">
        <x:v>Term</x:v>
      </x:c>
      <x:c r="B4" s="28" t="str">
        <x:v>Meaning</x:v>
      </x:c>
    </x:row>
    <x:row r="5" ht="42" customHeight="1">
      <x:c r="A5" s="14" t="str">
        <x:v>Purpose</x:v>
      </x:c>
      <x:c r="B5" s="14" t="str">
        <x:v>A master inventory to trim, not a recommendation to run everything. Categories organize actual datasets/protocols; rows may share source records.</x:v>
      </x:c>
    </x:row>
    <x:row r="6" ht="40" customHeight="1">
      <x:c r="A6" s="4" t="str">
        <x:v>Four presentation columns</x:v>
      </x:c>
      <x:c r="B6" s="4" t="str">
        <x:v>Task / actual dataset; Task evaluation targets (including sizes); Example Questions; Reported results.</x:v>
      </x:c>
    </x:row>
    <x:row r="7" ht="42" customHeight="1">
      <x:c r="A7" s="14" t="str">
        <x:v>Reported results</x:v>
      </x:c>
      <x:c r="B7" s="14" t="str">
        <x:v>Published paper/repository values, never our runs. Selected models and settings are identified; no cross-metric category average is invented.</x:v>
      </x:c>
    </x:row>
    <x:row r="8" ht="42" customHeight="1">
      <x:c r="A8" s="4" t="str">
        <x:v>Carried forward</x:v>
      </x:c>
      <x:c r="B8" s="4" t="str">
        <x:v>Copied from the source-linked 14 October workbook or original catalog. Not independently re-audited in this expansion.</x:v>
      </x:c>
    </x:row>
    <x:row r="9" ht="42" customHeight="1">
      <x:c r="A9" s="14" t="str">
        <x:v>Primary source checked</x:v>
      </x:c>
      <x:c r="B9" s="14" t="str">
        <x:v>Newly inspected paper or official repository. This verifies reported content, not downloaded payloads or reproduced performance.</x:v>
      </x:c>
    </x:row>
    <x:row r="10" ht="42" customHeight="1">
      <x:c r="A10" s="4" t="str">
        <x:v>Unresolved</x:v>
      </x:c>
      <x:c r="B10" s="4" t="str">
        <x:v>The exact count, retained split, scorer, or result is not established here. This does not mean zero performance or an invalid scientific task.</x:v>
      </x:c>
    </x:row>
    <x:row r="11" ht="42" customHeight="1">
      <x:c r="A11" s="14" t="str">
        <x:v>Size units</x:v>
      </x:c>
      <x:c r="B11" s="14" t="str">
        <x:v>Test proteins, variants, complexes, questions, assays, generated candidates and corpus totals are distinct. Do not add unlike units.</x:v>
      </x:c>
    </x:row>
    <x:row r="12" ht="42" customHeight="1">
      <x:c r="A12" s="4" t="str">
        <x:v>Candidate budget</x:v>
      </x:c>
      <x:c r="B12" s="4" t="str">
        <x:v>100 generated samples for one target is not 100 independent test targets. The verifier and compute budget are part of the setting.</x:v>
      </x:c>
    </x:row>
    <x:row r="13" ht="42" customHeight="1">
      <x:c r="A13" s="14" t="str">
        <x:v>Version-specific</x:v>
      </x:c>
      <x:c r="B13" s="14" t="str">
        <x:v>The same dataset name can have different retained sets: RAbD 60 versus ProteinBench 55; PFMBench resplits differ from PEER/TAPE.</x:v>
      </x:c>
    </x:row>
    <x:row r="14" ht="42" customHeight="1">
      <x:c r="A14" s="4" t="str">
        <x:v>Measured evidence</x:v>
      </x:c>
      <x:c r="B14" s="4" t="str">
        <x:v>Reference outcomes come from existing laboratory measurements. New generated candidates still require their own validation.</x:v>
      </x:c>
    </x:row>
    <x:row r="15" ht="42" customHeight="1">
      <x:c r="A15" s="14" t="str">
        <x:v>Annotation evidence</x:v>
      </x:c>
      <x:c r="B15" s="14" t="str">
        <x:v>Reference labels are curated or inferred annotations. Unannotated does not necessarily mean the biological activity is absent.</x:v>
      </x:c>
    </x:row>
    <x:row r="16" ht="42" customHeight="1">
      <x:c r="A16" s="4" t="str">
        <x:v>Structure-derived evidence</x:v>
      </x:c>
      <x:c r="B16" s="4" t="str">
        <x:v>Targets are calculated from coordinates or reference structures. Legitimate when splits/scorers are defined; not equivalent to measured function.</x:v>
      </x:c>
    </x:row>
    <x:row r="17" ht="42" customHeight="1">
      <x:c r="A17" s="14" t="str">
        <x:v>Model/simulation proxy</x:v>
      </x:c>
      <x:c r="B17" s="14" t="str">
        <x:v>Scores come from learned predictors, MD, docking or structural self-consistency. Identify the evaluator; do not report as a new experiment.</x:v>
      </x:c>
    </x:row>
    <x:row r="18" ht="42" customHeight="1">
      <x:c r="A18" s="4" t="str">
        <x:v>Judged text</x:v>
      </x:c>
      <x:c r="B18" s="4" t="str">
        <x:v>Text overlap, model judgments and expert preferences measure different aspects of an explanation. Outcome correctness does not verify every mechanism.</x:v>
      </x:c>
    </x:row>
    <x:row r="19" ht="42" customHeight="1">
      <x:c r="A19" s="14" t="str">
        <x:v>Text compatibility</x:v>
      </x:c>
      <x:c r="B19" s="14" t="str">
        <x:v>Raw sequence-as-text can form a baseline, but that is not equivalent to an encoder-plus-head protocol or proof the task is purely reasoning.</x:v>
      </x:c>
    </x:row>
    <x:row r="20" ht="42" customHeight="1">
      <x:c r="A20" s="4" t="str">
        <x:v>Required modalities</x:v>
      </x:c>
      <x:c r="B20" s="4" t="str">
        <x:v>Keep required images, coordinates, expression features, assay objectives and candidate context. Text transcription defines a new variant.</x:v>
      </x:c>
    </x:row>
    <x:row r="21" ht="42" customHeight="1">
      <x:c r="A21" s="14" t="str">
        <x:v>Without auxiliary text</x:v>
      </x:c>
      <x:c r="B21" s="14" t="str">
        <x:v>Remove only optional explanations. Retain the question, sequences, objective and every task-defining field.</x:v>
      </x:c>
    </x:row>
    <x:row r="22" ht="42" customHeight="1">
      <x:c r="A22" s="4" t="str">
        <x:v>With auxiliary text</x:v>
      </x:c>
      <x:c r="B22" s="4" t="str">
        <x:v>Only protocol-permitted context. Keep the source and timing explicit; no held-out outcomes or gold explanation leakage.</x:v>
      </x:c>
    </x:row>
    <x:row r="23" ht="42" customHeight="1">
      <x:c r="A23" s="14" t="str">
        <x:v>Training regime</x:v>
      </x:c>
      <x:c r="B23" s="14" t="str">
        <x:v>A supervised specialist, a prompted API model and a tool-enabled agent do not have identical information or adaptation budgets.</x:v>
      </x:c>
    </x:row>
    <x:row r="24" ht="42" customHeight="1">
      <x:c r="A24" s="4" t="str">
        <x:v>Examples</x:v>
      </x:c>
      <x:c r="B24" s="4" t="str">
        <x:v>All example questions here are illustrative paraphrases of task definitions, not recovered benchmark examples or new labeled data.</x:v>
      </x:c>
    </x:row>
    <x:row r="25" ht="42" customHeight="1">
      <x:c r="A25" s="14" t="str">
        <x:v>Selection column</x:v>
      </x:c>
      <x:c r="B25" s="14" t="str">
        <x:v>Undecided / Keep / Defer / Drop is for your planning. Editing it does not itself start agent work or remove underlying records.</x:v>
      </x:c>
    </x:row>
    <x:row r="26" ht="42" customHeight="1">
      <x:c r="A26" s="4" t="str">
        <x:v>Agent continuity</x:v>
      </x:c>
      <x:c r="B26" s="4" t="str">
        <x:v>All 64 original IDs are mapped in a separate sheet. Original 14-setting initial scope and benchmark restrictions remain unchanged.</x:v>
      </x:c>
    </x:row>
    <x:row r="27" ht="42" customHeight="1">
      <x:c r="A27" s="14" t="str">
        <x:v>Proteo-R1 treatment</x:v>
      </x:c>
      <x:c r="B27" s="14" t="str">
        <x:v>RAbD/SAbDab are ordinary design protocols. The PDB structural questions remain an internal-diagnostics appendix until the held-out set is clarified.</x:v>
      </x:c>
    </x:row>
    <x:row r="28" ht="42" customHeight="1">
      <x:c r="A28" s="4" t="str">
        <x:v>What is bundled</x:v>
      </x:c>
      <x:c r="B28" s="4" t="str">
        <x:v>Catalog, source URLs, metadata, legends, prior ID mapping, and agent-update instructions. No raw benchmark payloads, weights, executable harness, or model predictions.</x:v>
      </x:c>
    </x:row>
    <x:row r="29" ht="42" customHeight="1">
      <x:c r="A29" s="14" t="str">
        <x:v>Coverage</x:v>
      </x:c>
      <x:c r="B29" s="14" t="str">
        <x:v>Broad coverage of the discussed biological/protein domains, with adjacent modalities retained. It is not a claim to enumerate every benchmark in biology.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ed4df8b25a9a4428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70" hidden="0" customWidth="1"/>
    <x:col min="3" max="3" width="65" hidden="0" customWidth="1"/>
  </x:cols>
  <x:sheetData>
    <x:row r="1" ht="38" customHeight="1">
      <x:c r="A1" s="10" t="str">
        <x:v>LIMITS AND VERSION DIFFERENCES</x:v>
      </x:c>
      <x:c r="B1" s="10"/>
      <x:c r="C1" s="10"/>
    </x:row>
    <x:row r="2" ht="36" customHeight="1">
      <x:c r="A2" s="16" t="str">
        <x:v>Unresolved entries remain explicit. Availability of a paper or repository does not imply a complete runnable benchmark.</x:v>
      </x:c>
      <x:c r="B2" s="16"/>
      <x:c r="C2" s="16"/>
    </x:row>
    <x:row r="3" ht="10" customHeight="1">
      <x:c r="A3" s="4"/>
      <x:c r="B3" s="4"/>
      <x:c r="C3" s="4"/>
    </x:row>
    <x:row r="4" ht="36" customHeight="1">
      <x:c r="A4" s="28" t="str">
        <x:v>Item</x:v>
      </x:c>
      <x:c r="B4" s="28" t="str">
        <x:v>What is known / unresolved</x:v>
      </x:c>
      <x:c r="C4" s="28" t="str">
        <x:v>Required handling</x:v>
      </x:c>
    </x:row>
    <x:row r="5" ht="42" customHeight="1">
      <x:c r="A5" s="14" t="str">
        <x:v>Legacy results</x:v>
      </x:c>
      <x:c r="B5" s="14" t="str">
        <x:v>All original reported scores are retained as prior-review claims. This expansion does not freshly verify every old paper/model name.</x:v>
      </x:c>
      <x:c r="C5" s="14" t="str">
        <x:v>Re-audit the exact source before reproducing a comparison.</x:v>
      </x:c>
    </x:row>
    <x:row r="6" ht="56" customHeight="1">
      <x:c r="A6" s="4" t="str">
        <x:v>PFMBench table count</x:v>
      </x:c>
      <x:c r="B6" s="4" t="str">
        <x:v>The text advertises 38 tasks; visible Table 1 has 38 supervised entries plus 1 zero-shot entry. We retained 39 listed entries and flagged the discrepancy.</x:v>
      </x:c>
      <x:c r="C6" s="4" t="str">
        <x:v>Pin implementation task manifests; do not silently force a count.</x:v>
      </x:c>
    </x:row>
    <x:row r="7" ht="42" customHeight="1">
      <x:c r="A7" s="14" t="str">
        <x:v>PFMBench splits</x:v>
      </x:c>
      <x:c r="B7" s="14" t="str">
        <x:v>The paper's resplit sizes differ from the original PEER/TAPE/FLIP sizes. Its stability narrative also discusses a changed split.</x:v>
      </x:c>
      <x:c r="C7" s="14" t="str">
        <x:v>Use the exact PFMBench loader; do not import older counts.</x:v>
      </x:c>
    </x:row>
    <x:row r="8" ht="42" customHeight="1">
      <x:c r="A8" s="4" t="str">
        <x:v>PFMBench abbreviations</x:v>
      </x:c>
      <x:c r="B8" s="4" t="str">
        <x:v>Antib. Res. is retained as the source table label; do not expand it to antibody resistance from the abbreviation alone.</x:v>
      </x:c>
      <x:c r="C8" s="4" t="str">
        <x:v>Inspect the underlying source definition when selecting this task.</x:v>
      </x:c>
    </x:row>
    <x:row r="9" ht="42" customHeight="1">
      <x:c r="A9" s="14" t="str">
        <x:v>AbBiBench snapshots</x:v>
      </x:c>
      <x:c r="B9" s="14" t="str">
        <x:v>Paper reports 155,853 variants and 9 antigens; §3.1 lists 11 datasets. Current repository score table has 16 assay columns.</x:v>
      </x:c>
      <x:c r="C9" s="14" t="str">
        <x:v>Version-pin size and leaderboard separately; no false shared denominator.</x:v>
      </x:c>
    </x:row>
    <x:row r="10" ht="40" customHeight="1">
      <x:c r="A10" s="4" t="str">
        <x:v>RAbD preprocessing</x:v>
      </x:c>
      <x:c r="B10" s="4" t="str">
        <x:v>60 complexes in the legacy design setting; ProteinBench retains 55.</x:v>
      </x:c>
      <x:c r="C10" s="4" t="str">
        <x:v>Separate named protocol rows; do not sum as independent data.</x:v>
      </x:c>
    </x:row>
    <x:row r="11" ht="40" customHeight="1">
      <x:c r="A11" s="14" t="str">
        <x:v>BioEmu versions</x:v>
      </x:c>
      <x:c r="B11" s="14" t="str">
        <x:v>Benchmark/model revisions can change evaluation results.</x:v>
      </x:c>
      <x:c r="C11" s="14" t="str">
        <x:v>Use model card and evaluator revision together.</x:v>
      </x:c>
    </x:row>
    <x:row r="12" ht="42" customHeight="1">
      <x:c r="A12" s="4" t="str">
        <x:v>FLAb sizes</x:v>
      </x:c>
      <x:c r="B12" s="4" t="str">
        <x:v>241 datasets and &gt;3M points describe the collection, not one test partition. 15 reference sets are excluded from automated scoring.</x:v>
      </x:c>
      <x:c r="C12" s="4" t="str">
        <x:v>Use per-assay metadata and original metric directions.</x:v>
      </x:c>
    </x:row>
    <x:row r="13" ht="42" customHeight="1">
      <x:c r="A13" s="14" t="str">
        <x:v>PG-LLM restrictions</x:v>
      </x:c>
      <x:c r="B13" s="14" t="str">
        <x:v>The existing handoff keeps this native-only and forbids benchmark-specific training, tuning, retrieval augmentation or model selection.</x:v>
      </x:c>
      <x:c r="C13" s="14" t="str">
        <x:v>Do not interpret new catalog breadth as relaxed permission.</x:v>
      </x:c>
    </x:row>
    <x:row r="14" ht="42" customHeight="1">
      <x:c r="A14" s="4" t="str">
        <x:v>PFArena release</x:v>
      </x:c>
      <x:c r="B14" s="4" t="str">
        <x:v>Old source text and paper scores are available; exact usable bundle was not established in the handoff.</x:v>
      </x:c>
      <x:c r="C14" s="4" t="str">
        <x:v>Verify official bundle and its rules before running.</x:v>
      </x:c>
    </x:row>
    <x:row r="15" ht="42" customHeight="1">
      <x:c r="A15" s="14" t="str">
        <x:v>Paper-specific description tests</x:v>
      </x:c>
      <x:c r="B15" s="14" t="str">
        <x:v>NatureLM's frozen NCBI test and several adapted BioReason-Pro splits have unresolved manifests/counts.</x:v>
      </x:c>
      <x:c r="C15" s="14" t="str">
        <x:v>Do not substitute arbitrary new database rows and call it reproduction.</x:v>
      </x:c>
    </x:row>
    <x:row r="16" ht="42" customHeight="1">
      <x:c r="A16" s="4" t="str">
        <x:v>Internal diagnostics</x:v>
      </x:c>
      <x:c r="B16" s="4" t="str">
        <x:v>Proteo-R1 structure-question test separation and independent size remain unresolved.</x:v>
      </x:c>
      <x:c r="C16" s="4" t="str">
        <x:v>Appendix only; do not present as a public standardized benchmark.</x:v>
      </x:c>
    </x:row>
    <x:row r="17" ht="42" customHeight="1">
      <x:c r="A17" s="14" t="str">
        <x:v>Overlapping evidence</x:v>
      </x:c>
      <x:c r="B17" s="14" t="str">
        <x:v>Suites reuse TAPE, GO, ProteinGym, SAbDab and other data under different protocols.</x:v>
      </x:c>
      <x:c r="C17" s="14" t="str">
        <x:v>No total number of independent biological observations is reported.</x:v>
      </x:c>
    </x:row>
    <x:row r="18" ht="42" customHeight="1">
      <x:c r="A18" s="4" t="str">
        <x:v>Expensive design evaluations</x:v>
      </x:c>
      <x:c r="B18" s="4" t="str">
        <x:v>Generated proteins usually need inverse folding, refolding, interface scoring or simulation.</x:v>
      </x:c>
      <x:c r="C18" s="4" t="str">
        <x:v>Not a drop-in text-only API evaluation; cost and verifier must be explicit.</x:v>
      </x:c>
    </x:row>
    <x:row r="19" ht="42" customHeight="1">
      <x:c r="A19" s="14" t="str">
        <x:v>Downloaded content</x:v>
      </x:c>
      <x:c r="B19" s="14" t="str">
        <x:v>Only catalog files are packaged. Remote benchmark/model payloads have not been downloaded for this deliverable.</x:v>
      </x:c>
      <x:c r="C19" s="14" t="str">
        <x:v>Download later through official links, respecting access and licensing.</x:v>
      </x:c>
    </x:row>
    <x:row r="20" ht="42" customHeight="1">
      <x:c r="A20" s="4" t="str">
        <x:v>Old uploads</x:v>
      </x:c>
      <x:c r="B20" s="4" t="str">
        <x:v>The latest grouped workbook, original catalog and both agent ZIPs were available. Some older uploads may be expired.</x:v>
      </x:c>
      <x:c r="C20" s="4" t="str">
        <x:v>Re-upload only a specific unavailable source needed later; no old file was required to block this master.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7153bb880a7f4aa9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7" hidden="0" customWidth="1"/>
    <x:col min="3" max="3" width="25" hidden="0" customWidth="1"/>
    <x:col min="4" max="4" width="35" hidden="0" customWidth="1"/>
    <x:col min="5" max="5" width="49" hidden="0" customWidth="1"/>
    <x:col min="6" max="6" width="30" hidden="0" customWidth="1"/>
    <x:col min="7" max="7" width="42" hidden="0" customWidth="1"/>
  </x:cols>
  <x:sheetData>
    <x:row r="1" ht="38" customHeight="1">
      <x:c r="A1" s="10" t="str">
        <x:v>METRIC DEFINITIONS</x:v>
      </x:c>
      <x:c r="B1" s="10"/>
      <x:c r="C1" s="10"/>
      <x:c r="D1" s="10"/>
      <x:c r="E1" s="10"/>
      <x:c r="F1" s="10"/>
      <x:c r="G1" s="10"/>
    </x:row>
    <x:row r="2" ht="36" customHeight="1">
      <x:c r="A2" s="16" t="str">
        <x:v>Use the source scorer. Similar names can conceal different thresholds, alignments, targets, and aggregation rules.</x:v>
      </x:c>
      <x:c r="B2" s="16"/>
      <x:c r="C2" s="16"/>
      <x:c r="D2" s="16"/>
      <x:c r="E2" s="16"/>
      <x:c r="F2" s="16"/>
      <x:c r="G2" s="16"/>
    </x:row>
    <x:row r="3" ht="10" customHeight="1">
      <x:c r="A3" s="4"/>
      <x:c r="B3" s="4"/>
      <x:c r="C3" s="4"/>
      <x:c r="D3" s="4"/>
      <x:c r="E3" s="4"/>
      <x:c r="F3" s="4"/>
      <x:c r="G3" s="4"/>
    </x:row>
    <x:row r="4" ht="36" customHeight="1">
      <x:c r="A4" s="28" t="str">
        <x:v>Metric</x:v>
      </x:c>
      <x:c r="B4" s="28" t="str">
        <x:v>Plain-language meaning</x:v>
      </x:c>
      <x:c r="C4" s="28" t="str">
        <x:v>Direction</x:v>
      </x:c>
      <x:c r="D4" s="28" t="str">
        <x:v>Use case</x:v>
      </x:c>
      <x:c r="E4" s="28" t="str">
        <x:v>Interpretation trap</x:v>
      </x:c>
      <x:c r="F4" s="28" t="str">
        <x:v>Appears in</x:v>
      </x:c>
      <x:c r="G4" s="28" t="str">
        <x:v>Definition / source</x:v>
      </x:c>
    </x:row>
    <x:row r="5" ht="56" customHeight="1">
      <x:c r="A5" s="14" t="str">
        <x:v>Accuracy</x:v>
      </x:c>
      <x:c r="B5" s="14" t="str">
        <x:v>Fraction of examples with the correct discrete answer.</x:v>
      </x:c>
      <x:c r="C5" s="14" t="str">
        <x:v>Higher</x:v>
      </x:c>
      <x:c r="D5" s="14" t="str">
        <x:v>Class prediction; MCQ; exact final answer</x:v>
      </x:c>
      <x:c r="E5" s="14" t="str">
        <x:v>Always state the label definition and denominator. Balanced accuracy is different from ordinary accuracy.</x:v>
      </x:c>
      <x:c r="F5" s="14" t="str">
        <x:v>BioT5+; NatureLM; LAB-Bench; PFArena task-dependent</x:v>
      </x:c>
      <x:c r="G5" s="14" t="str">
        <x:v>https://scikit-learn.org/stable/modules/model_evaluation.html</x:v>
      </x:c>
    </x:row>
    <x:row r="6" ht="56" customHeight="1">
      <x:c r="A6" s="4" t="str">
        <x:v>Precision / recall / F1</x:v>
      </x:c>
      <x:c r="B6" s="4" t="str">
        <x:v>Precision: how many predicted positives are labeled positive? Recall: how many reference positives are recovered? F1 balances the two.</x:v>
      </x:c>
      <x:c r="C6" s="4" t="str">
        <x:v>Higher</x:v>
      </x:c>
      <x:c r="D6" s="4" t="str">
        <x:v>Binary or multilabel classification</x:v>
      </x:c>
      <x:c r="E6" s="4" t="str">
        <x:v>State the threshold and macro/micro averaging. Precision–recall depends on class prevalence.</x:v>
      </x:c>
      <x:c r="F6" s="4" t="str">
        <x:v>BioReason; GO tasks</x:v>
      </x:c>
      <x:c r="G6" s="4" t="str">
        <x:v>https://scikit-learn.org/stable/modules/model_evaluation.html</x:v>
      </x:c>
    </x:row>
    <x:row r="7" ht="56" customHeight="1">
      <x:c r="A7" s="14" t="str">
        <x:v>AUROC</x:v>
      </x:c>
      <x:c r="B7" s="14" t="str">
        <x:v>How consistently do positives rank above negatives over thresholds?</x:v>
      </x:c>
      <x:c r="C7" s="14" t="str">
        <x:v>Higher; 0.5 is chance for random ranking</x:v>
      </x:c>
      <x:c r="D7" s="14" t="str">
        <x:v>Binary ranking</x:v>
      </x:c>
      <x:c r="E7" s="14" t="str">
        <x:v>Not a precision–recall combination and not a measure of physical affinity. Negatives can be constructed rather than measured.</x:v>
      </x:c>
      <x:c r="F7" s="14" t="str">
        <x:v>BioT5+ DTI; ProteinGym ancillary metrics</x:v>
      </x:c>
      <x:c r="G7" s="14" t="str">
        <x:v>https://scikit-learn.org/stable/modules/generated/sklearn.metrics.roc_auc_score.html</x:v>
      </x:c>
    </x:row>
    <x:row r="8" ht="56" customHeight="1">
      <x:c r="A8" s="4" t="str">
        <x:v>AP / AUPR / AUPRC</x:v>
      </x:c>
      <x:c r="B8" s="4" t="str">
        <x:v>Summarize precision while progressively recovering positives.</x:v>
      </x:c>
      <x:c r="C8" s="4" t="str">
        <x:v>Higher</x:v>
      </x:c>
      <x:c r="D8" s="4" t="str">
        <x:v>Ranked binary/multilabel predictions</x:v>
      </x:c>
      <x:c r="E8" s="4" t="str">
        <x:v>Average precision and trapezoidal PR area are not identical. Use the paper's code; report prevalence.</x:v>
      </x:c>
      <x:c r="F8" s="4" t="str">
        <x:v>ProtST; GO tasks</x:v>
      </x:c>
      <x:c r="G8" s="4" t="str">
        <x:v>https://scikit-learn.org/stable/modules/generated/sklearn.metrics.average_precision_score.html</x:v>
      </x:c>
    </x:row>
    <x:row r="9" ht="56" customHeight="1">
      <x:c r="A9" s="14" t="str">
        <x:v>Fmax</x:v>
      </x:c>
      <x:c r="B9" s="14" t="str">
        <x:v>Best F1 over the tested score thresholds.</x:v>
      </x:c>
      <x:c r="C9" s="14" t="str">
        <x:v>Higher</x:v>
      </x:c>
      <x:c r="D9" s="14" t="str">
        <x:v>GO / EC annotation</x:v>
      </x:c>
      <x:c r="E9" s="14" t="str">
        <x:v>A retrospective maximum is not a preselected deployment threshold. Protein-centric averaging differs from micro-F1.</x:v>
      </x:c>
      <x:c r="F9" s="14" t="str">
        <x:v>ProtST; BioReason-Pro</x:v>
      </x:c>
      <x:c r="G9" s="14" t="str">
        <x:v>https://proceedings.mlr.press/v202/xu23t/xu23t.pdf</x:v>
      </x:c>
    </x:row>
    <x:row r="10" ht="56" customHeight="1">
      <x:c r="A10" s="4" t="str">
        <x:v>Information-weighted Fmax</x:v>
      </x:c>
      <x:c r="B10" s="4" t="str">
        <x:v>Threshold-maximized F1 with information-content-based weighting of GO terms.</x:v>
      </x:c>
      <x:c r="C10" s="4" t="str">
        <x:v>Higher</x:v>
      </x:c>
      <x:c r="D10" s="4" t="str">
        <x:v>GO prediction</x:v>
      </x:c>
      <x:c r="E10" s="4" t="str">
        <x:v>Weights emphasize informative terms; exact ontology, information-accretion table and propagation must match.</x:v>
      </x:c>
      <x:c r="F10" s="4" t="str">
        <x:v>BioReason-Pro</x:v>
      </x:c>
      <x:c r="G10" s="4" t="str">
        <x:v>https://www.biorxiv.org/content/10.64898/2026.03.19.712954v2.full</x:v>
      </x:c>
    </x:row>
    <x:row r="11" ht="56" customHeight="1">
      <x:c r="A11" s="14" t="str">
        <x:v>Spearman correlation</x:v>
      </x:c>
      <x:c r="B11" s="14" t="str">
        <x:v>How well do predicted and reference orderings agree?</x:v>
      </x:c>
      <x:c r="C11" s="14" t="str">
        <x:v>Higher; -1 to 1</x:v>
      </x:c>
      <x:c r="D11" s="14" t="str">
        <x:v>Continuous assay ranking</x:v>
      </x:c>
      <x:c r="E11" s="14" t="str">
        <x:v>Not numerical calibration. Compute within comparable assays; constants may make the statistic undefined.</x:v>
      </x:c>
      <x:c r="F11" s="14" t="str">
        <x:v>ProtST fitness; ProteinGym; PG-LLM; PFArena; MutaPLM low-N</x:v>
      </x:c>
      <x:c r="G11" s="14" t="str">
        <x:v>https://docs.scipy.org/doc/scipy/reference/generated/scipy.stats.spearmanr.html</x:v>
      </x:c>
    </x:row>
    <x:row r="12" ht="56" customHeight="1">
      <x:c r="A12" s="4" t="str">
        <x:v>Pearson correlation / MSE</x:v>
      </x:c>
      <x:c r="B12" s="4" t="str">
        <x:v>Pearson measures linear association; MSE measures squared numerical error.</x:v>
      </x:c>
      <x:c r="C12" s="4" t="str">
        <x:v>Pearson higher; MSE lower</x:v>
      </x:c>
      <x:c r="D12" s="4" t="str">
        <x:v>Numerical property prediction</x:v>
      </x:c>
      <x:c r="E12" s="4" t="str">
        <x:v>A good ordering may still be badly calibrated. Units/normalization alter numerical error.</x:v>
      </x:c>
      <x:c r="F12" s="4" t="str">
        <x:v>Secondary metric vocabulary; use only where the actual evaluator specifies it.</x:v>
      </x:c>
      <x:c r="G12" s="4" t="str">
        <x:v>https://scikit-learn.org/stable/modules/model_evaluation.html</x:v>
      </x:c>
    </x:row>
    <x:row r="13" ht="56" customHeight="1">
      <x:c r="A13" s="14" t="str">
        <x:v>Recall@K / hit@K</x:v>
      </x:c>
      <x:c r="B13" s="14" t="str">
        <x:v>Whether a known answer or top reference set appears within the allowed proposal budget.</x:v>
      </x:c>
      <x:c r="C13" s="14" t="str">
        <x:v>Higher</x:v>
      </x:c>
      <x:c r="D13" s="14" t="str">
        <x:v>Mutation proposals / retrieval</x:v>
      </x:c>
      <x:c r="E13" s="14" t="str">
        <x:v>Definitions differ: retrieving one known MutaDescribe mutation is not recovering PFArena's top-K experimental set.</x:v>
      </x:c>
      <x:c r="F13" s="14" t="str">
        <x:v>MutaPLM; PFArena</x:v>
      </x:c>
      <x:c r="G13" s="14" t="str">
        <x:v>https://arxiv.org/html/2410.22949v1
https://arxiv.org/html/2609.28921v1</x:v>
      </x:c>
    </x:row>
    <x:row r="14" ht="42" customHeight="1">
      <x:c r="A14" s="4" t="str">
        <x:v>NDCG</x:v>
      </x:c>
      <x:c r="B14" s="4" t="str">
        <x:v>A rank score giving more importance to placing high-value references near the top.</x:v>
      </x:c>
      <x:c r="C14" s="4" t="str">
        <x:v>Higher</x:v>
      </x:c>
      <x:c r="D14" s="4" t="str">
        <x:v>Candidate ranking</x:v>
      </x:c>
      <x:c r="E14" s="4" t="str">
        <x:v>Specify the gain transform and cutoff. It is not identical to Spearman.</x:v>
      </x:c>
      <x:c r="F14" s="4" t="str">
        <x:v>PFArena; ProteinGym</x:v>
      </x:c>
      <x:c r="G14" s="4" t="str">
        <x:v>https://scikit-learn.org/stable/modules/generated/sklearn.metrics.ndcg_score.html</x:v>
      </x:c>
    </x:row>
    <x:row r="15" ht="56" customHeight="1">
      <x:c r="A15" s="14" t="str">
        <x:v>Normalized maximum score@K</x:v>
      </x:c>
      <x:c r="B15" s="14" t="str">
        <x:v>Best reference outcome found within a fixed proposal budget, normalized by the benchmark.</x:v>
      </x:c>
      <x:c r="C15" s="14" t="str">
        <x:v>Higher</x:v>
      </x:c>
      <x:c r="D15" s="14" t="str">
        <x:v>Mutation generation or ranking</x:v>
      </x:c>
      <x:c r="E15" s="14" t="str">
        <x:v>One strong candidate can score well while the rest fail; interpret together with coverage/hit metrics.</x:v>
      </x:c>
      <x:c r="F15" s="14" t="str">
        <x:v>PFArena</x:v>
      </x:c>
      <x:c r="G15" s="14" t="str">
        <x:v>https://arxiv.org/html/2609.28921v1</x:v>
      </x:c>
    </x:row>
    <x:row r="16" ht="56" customHeight="1">
      <x:c r="A16" s="4" t="str">
        <x:v>BLEU / ROUGE-L / METEOR</x:v>
      </x:c>
      <x:c r="B16" s="4" t="str">
        <x:v>Compare generated wording against reference wording; ROUGE-L uses subsequence overlap.</x:v>
      </x:c>
      <x:c r="C16" s="4" t="str">
        <x:v>Higher</x:v>
      </x:c>
      <x:c r="D16" s="4" t="str">
        <x:v>Protein descriptions / explanations</x:v>
      </x:c>
      <x:c r="E16" s="4" t="str">
        <x:v>Does not verify mechanisms or capture every valid alternative wording. Negation errors can survive high overlap.</x:v>
      </x:c>
      <x:c r="F16" s="4" t="str">
        <x:v>BioT5+; MutaPLM; NatureLM</x:v>
      </x:c>
      <x:c r="G16" s="4" t="str">
        <x:v>https://arxiv.org/html/2402.17810v2
https://arxiv.org/html/2410.22949v1</x:v>
      </x:c>
    </x:row>
    <x:row r="17" ht="56" customHeight="1">
      <x:c r="A17" s="14" t="str">
        <x:v>Semantic judge categories</x:v>
      </x:c>
      <x:c r="B17" s="14" t="str">
        <x:v>An evaluator compares meaning, e.g. accurate, relevant, opposite, irrelevant.</x:v>
      </x:c>
      <x:c r="C17" s="14" t="str">
        <x:v>Report category distribution</x:v>
      </x:c>
      <x:c r="D17" s="14" t="str">
        <x:v>Mutation explanation</x:v>
      </x:c>
      <x:c r="E17" s="14" t="str">
        <x:v>Fix judge prompt/version and human review procedure. This remains judgment against the available reference.</x:v>
      </x:c>
      <x:c r="F17" s="14" t="str">
        <x:v>MutaPLM</x:v>
      </x:c>
      <x:c r="G17" s="14" t="str">
        <x:v>https://arxiv.org/html/2410.22949v1</x:v>
      </x:c>
    </x:row>
    <x:row r="18" ht="42" customHeight="1">
      <x:c r="A18" s="4" t="str">
        <x:v>Amino-acid recovery (AAR)</x:v>
      </x:c>
      <x:c r="B18" s="4" t="str">
        <x:v>Fraction of the designated residues matching the native reference.</x:v>
      </x:c>
      <x:c r="C18" s="4" t="str">
        <x:v>Higher</x:v>
      </x:c>
      <x:c r="D18" s="4" t="str">
        <x:v>Antibody-loop reconstruction</x:v>
      </x:c>
      <x:c r="E18" s="4" t="str">
        <x:v>Alternative functional sequences may be penalized; sequence identity alone is not binding success.</x:v>
      </x:c>
      <x:c r="F18" s="4" t="str">
        <x:v>NatureLM; Proteo-R1</x:v>
      </x:c>
      <x:c r="G18" s="4" t="str">
        <x:v>https://arxiv.org/html/2605.02937v1</x:v>
      </x:c>
    </x:row>
    <x:row r="19" ht="42" customHeight="1">
      <x:c r="A19" s="14" t="str">
        <x:v>RMSD</x:v>
      </x:c>
      <x:c r="B19" s="14" t="str">
        <x:v>Average geometric deviation after the specified structural alignment.</x:v>
      </x:c>
      <x:c r="C19" s="14" t="str">
        <x:v>Lower; usually ångströms</x:v>
      </x:c>
      <x:c r="D19" s="14" t="str">
        <x:v>Structural reconstruction</x:v>
      </x:c>
      <x:c r="E19" s="14" t="str">
        <x:v>Depends on aligned atoms/region. It is not affinity or thermodynamic stability.</x:v>
      </x:c>
      <x:c r="F19" s="14" t="str">
        <x:v>Proteo-R1</x:v>
      </x:c>
      <x:c r="G19" s="14" t="str">
        <x:v>https://arxiv.org/html/2605.02937v1</x:v>
      </x:c>
    </x:row>
    <x:row r="20" ht="42" customHeight="1">
      <x:c r="A20" s="4" t="str">
        <x:v>lDDT / TM-score</x:v>
      </x:c>
      <x:c r="B20" s="4" t="str">
        <x:v>Compare predicted versus reference structure using local-distance or global-fold similarity.</x:v>
      </x:c>
      <x:c r="C20" s="4" t="str">
        <x:v>Higher</x:v>
      </x:c>
      <x:c r="D20" s="4" t="str">
        <x:v>Structural reconstruction</x:v>
      </x:c>
      <x:c r="E20" s="4" t="str">
        <x:v>Different normalization and geometric emphasis; evaluate the same region and preprocessing.</x:v>
      </x:c>
      <x:c r="F20" s="4" t="str">
        <x:v>Proteo-R1</x:v>
      </x:c>
      <x:c r="G20" s="4" t="str">
        <x:v>https://arxiv.org/html/2605.02937v1</x:v>
      </x:c>
    </x:row>
    <x:row r="21" ht="42" customHeight="1">
      <x:c r="A21" s="14" t="str">
        <x:v>DockQ / interface geometry</x:v>
      </x:c>
      <x:c r="B21" s="14" t="str">
        <x:v>Composite structural assessment of a docked interface.</x:v>
      </x:c>
      <x:c r="C21" s="14" t="str">
        <x:v>Higher</x:v>
      </x:c>
      <x:c r="D21" s="14" t="str">
        <x:v>Complex reconstruction</x:v>
      </x:c>
      <x:c r="E21" s="14" t="str">
        <x:v>Good docking geometry does not establish experimental recognition or cellular activity.</x:v>
      </x:c>
      <x:c r="F21" s="14" t="str">
        <x:v>Proteo-R1</x:v>
      </x:c>
      <x:c r="G21" s="14" t="str">
        <x:v>https://arxiv.org/html/2605.02937v1</x:v>
      </x:c>
    </x:row>
    <x:row r="22" ht="42" customHeight="1">
      <x:c r="A22" s="4" t="str">
        <x:v>pLDDT</x:v>
      </x:c>
      <x:c r="B22" s="4" t="str">
        <x:v>A structure predictor's confidence in its predicted local geometry.</x:v>
      </x:c>
      <x:c r="C22" s="4" t="str">
        <x:v>Higher confidence</x:v>
      </x:c>
      <x:c r="D22" s="4" t="str">
        <x:v>Generated protein screening</x:v>
      </x:c>
      <x:c r="E22" s="4" t="str">
        <x:v>Confidence is not reference-based correctness, measured function, or binding affinity.</x:v>
      </x:c>
      <x:c r="F22" s="4" t="str">
        <x:v>NatureLM</x:v>
      </x:c>
      <x:c r="G22" s="4" t="str">
        <x:v>https://arxiv.org/html/2502.07527v3</x:v>
      </x:c>
    </x:row>
    <x:row r="23" ht="56" customHeight="1">
      <x:c r="A23" s="14" t="str">
        <x:v>Rosetta / docking energy proxies</x:v>
      </x:c>
      <x:c r="B23" s="14" t="str">
        <x:v>Energy-like values produced by a modeling/scoring procedure.</x:v>
      </x:c>
      <x:c r="C23" s="14" t="str">
        <x:v>Method-dependent; often lower</x:v>
      </x:c>
      <x:c r="D23" s="14" t="str">
        <x:v>In-silico candidate screening</x:v>
      </x:c>
      <x:c r="E23" s="14" t="str">
        <x:v>Not interchangeable with experimentally measured free energy or KD. Cross-target comparisons may be invalid.</x:v>
      </x:c>
      <x:c r="F23" s="14" t="str">
        <x:v>Proteo-R1; ProtST case studies</x:v>
      </x:c>
      <x:c r="G23" s="14" t="str">
        <x:v>https://arxiv.org/html/2605.02937v1
https://proceedings.mlr.press/v202/xu23t/xu23t.pdf</x:v>
      </x:c>
    </x:row>
    <x:row r="24" ht="42" customHeight="1">
      <x:c r="A24" s="4" t="str">
        <x:v>Diversity / uniqueness / novelty</x:v>
      </x:c>
      <x:c r="B24" s="4" t="str">
        <x:v>How many distinct or dissimilar sequences are generated, or absent from a reference collection?</x:v>
      </x:c>
      <x:c r="C24" s="4" t="str">
        <x:v>Not intrinsically better without function</x:v>
      </x:c>
      <x:c r="D24" s="4" t="str">
        <x:v>Generation diagnostics</x:v>
      </x:c>
      <x:c r="E24" s="4" t="str">
        <x:v>Many useless sequences can be diverse. State clustering threshold and the reference set for novelty.</x:v>
      </x:c>
      <x:c r="F24" s="4" t="str">
        <x:v>NatureLM; STRIDE</x:v>
      </x:c>
      <x:c r="G24" s="4" t="str">
        <x:v>https://arxiv.org/html/2502.07527v3
https://arxiv.org/html/2603.03573v1</x:v>
      </x:c>
    </x:row>
    <x:row r="25" ht="42" customHeight="1">
      <x:c r="A25" s="14" t="str">
        <x:v>Oracle success / predicted fitness</x:v>
      </x:c>
      <x:c r="B25" s="14" t="str">
        <x:v>Whether candidates satisfy a threshold under a learned evaluator.</x:v>
      </x:c>
      <x:c r="C25" s="14" t="str">
        <x:v>Higher according to that evaluator</x:v>
      </x:c>
      <x:c r="D25" s="14" t="str">
        <x:v>Sequence optimization</x:v>
      </x:c>
      <x:c r="E25" s="14" t="str">
        <x:v>The model may exploit scorer weaknesses. This is not a new experimentally measured hit rate.</x:v>
      </x:c>
      <x:c r="F25" s="14" t="str">
        <x:v>MutaPLM search; STRIDE</x:v>
      </x:c>
      <x:c r="G25" s="14" t="str">
        <x:v>https://arxiv.org/html/2410.22949v1
https://arxiv.org/html/2603.03573v1</x:v>
      </x:c>
    </x:row>
    <x:row r="26" ht="42" customHeight="1">
      <x:c r="A26" s="4" t="str">
        <x:v>Open-answer VQA recall</x:v>
      </x:c>
      <x:c r="B26" s="4" t="str">
        <x:v>How much of the reference answer's token content appears in the generated answer?</x:v>
      </x:c>
      <x:c r="C26" s="4" t="str">
        <x:v>Higher</x:v>
      </x:c>
      <x:c r="D26" s="4" t="str">
        <x:v>Original LLaVA-Med open VQA</x:v>
      </x:c>
      <x:c r="E26" s="4" t="str">
        <x:v>May reward overlong answers; differs from exact answer accuracy and clinical correctness.</x:v>
      </x:c>
      <x:c r="F26" s="4" t="str">
        <x:v>LLaVA-Med</x:v>
      </x:c>
      <x:c r="G26" s="4" t="str">
        <x:v>https://arxiv.org/abs/2306.00890</x:v>
      </x:c>
    </x:row>
    <x:row r="27" ht="42" customHeight="1">
      <x:c r="A27" s="14" t="str">
        <x:v>Abstention precision / coverage</x:v>
      </x:c>
      <x:c r="B27" s="14" t="str">
        <x:v>Precision among attempted answers; coverage is the fraction attempted.</x:v>
      </x:c>
      <x:c r="C27" s="14" t="str">
        <x:v>Tradeoff, not one scalar</x:v>
      </x:c>
      <x:c r="D27" s="14" t="str">
        <x:v>Selective question answering</x:v>
      </x:c>
      <x:c r="E27" s="14" t="str">
        <x:v>High precision can come from answering very few questions; report coverage and total accuracy.</x:v>
      </x:c>
      <x:c r="F27" s="14" t="str">
        <x:v>LAB-Bench</x:v>
      </x:c>
      <x:c r="G27" s="14" t="str">
        <x:v>https://arxiv.org/html/2407.10362v1</x:v>
      </x:c>
    </x:row>
    <x:row r="28" ht="42" customHeight="1">
      <x:c r="A28" s="4" t="str">
        <x:v>Pass@1 / pass@K</x:v>
      </x:c>
      <x:c r="B28" s="4" t="str">
        <x:v>Probability/fraction of a correct executable solution with one attempt or K attempts.</x:v>
      </x:c>
      <x:c r="C28" s="4" t="str">
        <x:v>Higher</x:v>
      </x:c>
      <x:c r="D28" s="4" t="str">
        <x:v>Coding</x:v>
      </x:c>
      <x:c r="E28" s="4" t="str">
        <x:v>K, sampling, tests and time limits matter. More attempts do not imply a better single-shot model.</x:v>
      </x:c>
      <x:c r="F28" s="4" t="str">
        <x:v>OLMo 3</x:v>
      </x:c>
      <x:c r="G28" s="4" t="str">
        <x:v>https://arxiv.org/html/2512.13961v1</x:v>
      </x:c>
    </x:row>
    <x:row r="29" ht="42" customHeight="1">
      <x:c r="A29" s="14" t="str">
        <x:v>Loss / bits per byte</x:v>
      </x:c>
      <x:c r="B29" s="14" t="str">
        <x:v>How much uncertainty the model assigns to reference text or completions.</x:v>
      </x:c>
      <x:c r="C29" s="14" t="str">
        <x:v>Lower</x:v>
      </x:c>
      <x:c r="D29" s="14" t="str">
        <x:v>Small data-mixture experiments</x:v>
      </x:c>
      <x:c r="E29" s="14" t="str">
        <x:v>Useful diagnostic; improvement does not guarantee improvement on every downstream task.</x:v>
      </x:c>
      <x:c r="F29" s="14" t="str">
        <x:v>OLMo 3; DCLM</x:v>
      </x:c>
      <x:c r="G29" s="14" t="str">
        <x:v>https://arxiv.org/html/2512.13961v1
https://arxiv.org/html/2406.11794v3</x:v>
      </x:c>
    </x:row>
    <x:row r="30" ht="42" customHeight="1">
      <x:c r="A30" s="4" t="str">
        <x:v>scTM / scRMSD</x:v>
      </x:c>
      <x:c r="B30" s="4" t="str">
        <x:v>Refold a sequence designed for a backbone, then compare the refolded and intended structures.</x:v>
      </x:c>
      <x:c r="C30" s="4" t="str">
        <x:v>Higher scTM; lower scRMSD</x:v>
      </x:c>
      <x:c r="D30" s="4" t="str">
        <x:v>Computational protein design</x:v>
      </x:c>
      <x:c r="E30" s="4" t="str">
        <x:v>This is self-consistency through a model pipeline, not laboratory validation.</x:v>
      </x:c>
      <x:c r="F30" s="4" t="str">
        <x:v>ProteinBench</x:v>
      </x:c>
      <x:c r="G30" s="4" t="str">
        <x:v>https://arxiv.org/html/2409.06744v2</x:v>
      </x:c>
    </x:row>
    <x:row r="31" ht="42" customHeight="1">
      <x:c r="A31" s="14" t="str">
        <x:v>MotifBench score</x:v>
      </x:c>
      <x:c r="B31" s="14" t="str">
        <x:v>The benchmark's aggregate of structurally successful and distinct motif-scaffolding solutions.</x:v>
      </x:c>
      <x:c r="C31" s="14" t="str">
        <x:v>Higher</x:v>
      </x:c>
      <x:c r="D31" s="14" t="str">
        <x:v>Motif scaffolding</x:v>
      </x:c>
      <x:c r="E31" s="14" t="str">
        <x:v>Not a wet-lab functional-hit percentage. Use official aggregation and fixed sampling budget.</x:v>
      </x:c>
      <x:c r="F31" s="14" t="str">
        <x:v>MotifBench</x:v>
      </x:c>
      <x:c r="G31" s="14" t="str">
        <x:v>https://github.com/blt2114/MotifBench</x:v>
      </x:c>
    </x:row>
    <x:row r="32" ht="42" customHeight="1">
      <x:c r="A32" s="4" t="str">
        <x:v>Epitope F1</x:v>
      </x:c>
      <x:c r="B32" s="4" t="str">
        <x:v>Precision/recall balance for contacts to the intended antigen region.</x:v>
      </x:c>
      <x:c r="C32" s="4" t="str">
        <x:v>Higher</x:v>
      </x:c>
      <x:c r="D32" s="4" t="str">
        <x:v>Epitope-conditioned antibody design</x:v>
      </x:c>
      <x:c r="E32" s="4" t="str">
        <x:v>Does not measure cross-reactivity against other peptides, proteins or tissues.</x:v>
      </x:c>
      <x:c r="F32" s="4" t="str">
        <x:v>CHIMERA-Bench</x:v>
      </x:c>
      <x:c r="G32" s="4" t="str">
        <x:v>https://arxiv.org/html/2603.13431v1</x:v>
      </x:c>
    </x:row>
    <x:row r="33" ht="42" customHeight="1">
      <x:c r="A33" s="14" t="str">
        <x:v>RMSF correlation</x:v>
      </x:c>
      <x:c r="B33" s="14" t="str">
        <x:v>Agreement between per-residue fluctuation profiles in generated and reference ensembles.</x:v>
      </x:c>
      <x:c r="C33" s="14" t="str">
        <x:v>Higher</x:v>
      </x:c>
      <x:c r="D33" s="14" t="str">
        <x:v>Conformational distributions</x:v>
      </x:c>
      <x:c r="E33" s="14" t="str">
        <x:v>State per-target/global aggregation; correlated fluctuation is not exact state-population recovery.</x:v>
      </x:c>
      <x:c r="F33" s="14" t="str">
        <x:v>ProteinBench / BioEmu</x:v>
      </x:c>
      <x:c r="G33" s="14" t="str">
        <x:v>https://arxiv.org/html/2409.06744v2</x:v>
      </x:c>
    </x:row>
    <x:row r="34" ht="56" customHeight="1">
      <x:c r="A34" s="4" t="str">
        <x:v>PCA-Wasserstein distance</x:v>
      </x:c>
      <x:c r="B34" s="4" t="str">
        <x:v>Distance between generated and reference ensemble distributions in the chosen projected coordinate space.</x:v>
      </x:c>
      <x:c r="C34" s="4" t="str">
        <x:v>Lower</x:v>
      </x:c>
      <x:c r="D34" s="4" t="str">
        <x:v>Dynamics emulation</x:v>
      </x:c>
      <x:c r="E34" s="4" t="str">
        <x:v>Depends on alignment, projection and reference simulation; not interchangeable with one-structure RMSD.</x:v>
      </x:c>
      <x:c r="F34" s="4" t="str">
        <x:v>ProteinBench</x:v>
      </x:c>
      <x:c r="G34" s="4" t="str">
        <x:v>https://arxiv.org/html/2409.06744v2</x:v>
      </x:c>
    </x:row>
    <x:row r="35" ht="56" customHeight="1">
      <x:c r="A35" s="14" t="str">
        <x:v>Budgeted passing-backbone count</x:v>
      </x:c>
      <x:c r="B35" s="14" t="str">
        <x:v>Number of generated backbones with at least one sequence passing the fixed computational filters under a time budget.</x:v>
      </x:c>
      <x:c r="C35" s="14" t="str">
        <x:v>Higher at the same budget</x:v>
      </x:c>
      <x:c r="D35" s="14" t="str">
        <x:v>De novo binder generation</x:v>
      </x:c>
      <x:c r="E35" s="14" t="str">
        <x:v>This is throughput under a verifier, not experimental binding success. Keep hardware and all pipeline costs fixed.</x:v>
      </x:c>
      <x:c r="F35" s="14" t="str">
        <x:v>ProtDBench</x:v>
      </x:c>
      <x:c r="G35" s="14" t="str">
        <x:v>https://arxiv.org/html/2605.04118v1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8b1e81592e704fb5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39" hidden="0" customWidth="1"/>
    <x:col min="3" max="3" width="35" hidden="0" customWidth="1"/>
    <x:col min="4" max="4" width="44" hidden="0" customWidth="1"/>
    <x:col min="5" max="5" width="26" hidden="0" customWidth="1"/>
    <x:col min="6" max="6" width="37" hidden="0" customWidth="1"/>
    <x:col min="7" max="7" width="38" hidden="0" customWidth="1"/>
    <x:col min="8" max="8" width="46" hidden="0" customWidth="1"/>
  </x:cols>
  <x:sheetData>
    <x:row r="1" ht="38" customHeight="1">
      <x:c r="A1" s="10" t="str">
        <x:v>OLD-TO-NEW TASK MAPPING</x:v>
      </x:c>
      <x:c r="B1" s="10"/>
      <x:c r="C1" s="10"/>
      <x:c r="D1" s="10"/>
      <x:c r="E1" s="10"/>
      <x:c r="F1" s="10"/>
      <x:c r="G1" s="10"/>
      <x:c r="H1" s="10"/>
    </x:row>
    <x:row r="2" ht="36" customHeight="1">
      <x:c r="A2" s="16" t="str">
        <x:v>Internal IDs appear only here for continuity. All 64 existing settings remain mapped; no new benchmark is automatically added to initial execution.</x:v>
      </x:c>
      <x:c r="B2" s="16"/>
      <x:c r="C2" s="16"/>
      <x:c r="D2" s="16"/>
      <x:c r="E2" s="16"/>
      <x:c r="F2" s="16"/>
      <x:c r="G2" s="16"/>
      <x:c r="H2" s="16"/>
    </x:row>
    <x:row r="3" ht="10" customHeight="1">
      <x:c r="A3" s="4"/>
      <x:c r="B3" s="4"/>
      <x:c r="C3" s="4"/>
      <x:c r="D3" s="4"/>
      <x:c r="E3" s="4"/>
      <x:c r="F3" s="4"/>
      <x:c r="G3" s="4"/>
      <x:c r="H3" s="4"/>
    </x:row>
    <x:row r="4" ht="36" customHeight="1">
      <x:c r="A4" s="28" t="str">
        <x:v>Old agent ID</x:v>
      </x:c>
      <x:c r="B4" s="28" t="str">
        <x:v>Original setting</x:v>
      </x:c>
      <x:c r="C4" s="28" t="str">
        <x:v>Category</x:v>
      </x:c>
      <x:c r="D4" s="28" t="str">
        <x:v>Master dataset group</x:v>
      </x:c>
      <x:c r="E4" s="28" t="str">
        <x:v>Location</x:v>
      </x:c>
      <x:c r="F4" s="28" t="str">
        <x:v>Execution scope</x:v>
      </x:c>
      <x:c r="G4" s="28" t="str">
        <x:v>Input-compatibility classification</x:v>
      </x:c>
      <x:c r="H4" s="28" t="str">
        <x:v>Original limitation</x:v>
      </x:c>
    </x:row>
    <x:row r="5" ht="56" customHeight="1">
      <x:c r="A5" s="14" t="str">
        <x:v>P01</x:v>
      </x:c>
      <x:c r="B5" s="14" t="str">
        <x:v>Solubility — PEER</x:v>
      </x:c>
      <x:c r="C5" s="14" t="str">
        <x:v>Protein properties, interactions and developability</x:v>
      </x:c>
      <x:c r="D5" s="14" t="str">
        <x:v>DeepSol solubility — PEER split</x:v>
      </x:c>
      <x:c r="E5" s="14" t="str">
        <x:v>Main table</x:v>
      </x:c>
      <x:c r="F5" s="14" t="str">
        <x:v>Catalogued; not added to initial scope</x:v>
      </x:c>
      <x:c r="G5" s="14" t="str">
        <x:v>A | Text / sequence task interface described</x:v>
      </x:c>
      <x:c r="H5" s="14" t="str">
        <x:v>Not binding affinity, thermostability, or a guarantee of solubility under every laboratory condition.</x:v>
      </x:c>
    </x:row>
    <x:row r="6" ht="42" customHeight="1">
      <x:c r="A6" s="4" t="str">
        <x:v>P02</x:v>
      </x:c>
      <x:c r="B6" s="4" t="str">
        <x:v>Binary localization — DeepLoc/PEER</x:v>
      </x:c>
      <x:c r="C6" s="4" t="str">
        <x:v>Protein properties, interactions and developability</x:v>
      </x:c>
      <x:c r="D6" s="4" t="str">
        <x:v>DeepLoc — binary and 10-compartment localization</x:v>
      </x:c>
      <x:c r="E6" s="4" t="str">
        <x:v>Main table</x:v>
      </x:c>
      <x:c r="F6" s="4" t="str">
        <x:v>Catalogued; not added to initial scope</x:v>
      </x:c>
      <x:c r="G6" s="4" t="str">
        <x:v>A | Text / sequence task interface described</x:v>
      </x:c>
      <x:c r="H6" s="4" t="str">
        <x:v>'Soluble' in the localization labels is not the same endpoint as expression solubility in P01.</x:v>
      </x:c>
    </x:row>
    <x:row r="7" ht="42" customHeight="1">
      <x:c r="A7" s="14" t="str">
        <x:v>P03</x:v>
      </x:c>
      <x:c r="B7" s="14" t="str">
        <x:v>Subcellular localization — DeepLoc</x:v>
      </x:c>
      <x:c r="C7" s="14" t="str">
        <x:v>Protein properties, interactions and developability</x:v>
      </x:c>
      <x:c r="D7" s="14" t="str">
        <x:v>DeepLoc — binary and 10-compartment localization</x:v>
      </x:c>
      <x:c r="E7" s="14" t="str">
        <x:v>Main table</x:v>
      </x:c>
      <x:c r="F7" s="14" t="str">
        <x:v>Catalogued; not added to initial scope</x:v>
      </x:c>
      <x:c r="G7" s="14" t="str">
        <x:v>B | New text-baseline adapter needed</x:v>
      </x:c>
      <x:c r="H7" s="14" t="str">
        <x:v>Location is a different question from molecular activity or binding specificity.</x:v>
      </x:c>
    </x:row>
    <x:row r="8" ht="56" customHeight="1">
      <x:c r="A8" s="4" t="str">
        <x:v>P04</x:v>
      </x:c>
      <x:c r="B8" s="4" t="str">
        <x:v>Beta-lactamase activity — PEER</x:v>
      </x:c>
      <x:c r="C8" s="4" t="str">
        <x:v>Protein properties, interactions and developability</x:v>
      </x:c>
      <x:c r="D8" s="4" t="str">
        <x:v>Envision β-lactamase — PEER split</x:v>
      </x:c>
      <x:c r="E8" s="4" t="str">
        <x:v>Main table</x:v>
      </x:c>
      <x:c r="F8" s="4" t="str">
        <x:v>Catalogued; not added to initial scope</x:v>
      </x:c>
      <x:c r="G8" s="4" t="str">
        <x:v>B | New text-baseline adapter needed</x:v>
      </x:c>
      <x:c r="H8" s="4" t="str">
        <x:v>The numerical endpoint is assay-specific; these tasks do not establish a general ability to explain mechanisms.</x:v>
      </x:c>
    </x:row>
    <x:row r="9" ht="56" customHeight="1">
      <x:c r="A9" s="14" t="str">
        <x:v>P05</x:v>
      </x:c>
      <x:c r="B9" s="14" t="str">
        <x:v>AAV variant fitness — FLIP</x:v>
      </x:c>
      <x:c r="C9" s="14" t="str">
        <x:v>Protein properties, interactions and developability</x:v>
      </x:c>
      <x:c r="D9" s="14" t="str">
        <x:v>FLIP — AAV and Meltome</x:v>
      </x:c>
      <x:c r="E9" s="14" t="str">
        <x:v>Main table</x:v>
      </x:c>
      <x:c r="F9" s="14" t="str">
        <x:v>Catalogued; not added to initial scope</x:v>
      </x:c>
      <x:c r="G9" s="14" t="str">
        <x:v>B | New text-baseline adapter needed</x:v>
      </x:c>
      <x:c r="H9" s="14" t="str">
        <x:v>The numerical endpoint is assay-specific; these tasks do not establish a general ability to explain mechanisms.</x:v>
      </x:c>
    </x:row>
    <x:row r="10" ht="56" customHeight="1">
      <x:c r="A10" s="4" t="str">
        <x:v>P06</x:v>
      </x:c>
      <x:c r="B10" s="4" t="str">
        <x:v>Thermostability — FLIP/Meltome</x:v>
      </x:c>
      <x:c r="C10" s="4" t="str">
        <x:v>Protein properties, interactions and developability</x:v>
      </x:c>
      <x:c r="D10" s="4" t="str">
        <x:v>FLIP — AAV and Meltome</x:v>
      </x:c>
      <x:c r="E10" s="4" t="str">
        <x:v>Main table</x:v>
      </x:c>
      <x:c r="F10" s="4" t="str">
        <x:v>Catalogued; not added to initial scope</x:v>
      </x:c>
      <x:c r="G10" s="4" t="str">
        <x:v>B | New text-baseline adapter needed</x:v>
      </x:c>
      <x:c r="H10" s="4" t="str">
        <x:v>The numerical endpoint is assay-specific; these tasks do not establish a general ability to explain mechanisms.</x:v>
      </x:c>
    </x:row>
    <x:row r="11" ht="56" customHeight="1">
      <x:c r="A11" s="14" t="str">
        <x:v>P07</x:v>
      </x:c>
      <x:c r="B11" s="14" t="str">
        <x:v>GFP fluorescence — TAPE</x:v>
      </x:c>
      <x:c r="C11" s="14" t="str">
        <x:v>Protein properties, interactions and developability</x:v>
      </x:c>
      <x:c r="D11" s="14" t="str">
        <x:v>TAPE GFP / Sarkisyan fluorescence</x:v>
      </x:c>
      <x:c r="E11" s="14" t="str">
        <x:v>Main table</x:v>
      </x:c>
      <x:c r="F11" s="14" t="str">
        <x:v>Catalogued; not added to initial scope</x:v>
      </x:c>
      <x:c r="G11" s="14" t="str">
        <x:v>B | New text-baseline adapter needed</x:v>
      </x:c>
      <x:c r="H11" s="14" t="str">
        <x:v>The numerical endpoint is assay-specific; these tasks do not establish a general ability to explain mechanisms.</x:v>
      </x:c>
    </x:row>
    <x:row r="12" ht="56" customHeight="1">
      <x:c r="A12" s="4" t="str">
        <x:v>P08</x:v>
      </x:c>
      <x:c r="B12" s="4" t="str">
        <x:v>Protein stability regression — TAPE</x:v>
      </x:c>
      <x:c r="C12" s="4" t="str">
        <x:v>Protein properties, interactions and developability</x:v>
      </x:c>
      <x:c r="D12" s="4" t="str">
        <x:v>TAPE / Rocklin stability</x:v>
      </x:c>
      <x:c r="E12" s="4" t="str">
        <x:v>Main table</x:v>
      </x:c>
      <x:c r="F12" s="4" t="str">
        <x:v>Catalogued; not added to initial scope</x:v>
      </x:c>
      <x:c r="G12" s="4" t="str">
        <x:v>B | New text-baseline adapter needed</x:v>
      </x:c>
      <x:c r="H12" s="4" t="str">
        <x:v>The numerical endpoint is assay-specific; these tasks do not establish a general ability to explain mechanisms.</x:v>
      </x:c>
    </x:row>
    <x:row r="13" ht="56" customHeight="1">
      <x:c r="A13" s="14" t="str">
        <x:v>P09</x:v>
      </x:c>
      <x:c r="B13" s="14" t="str">
        <x:v>Stability classification — NatureLM/PEER</x:v>
      </x:c>
      <x:c r="C13" s="14" t="str">
        <x:v>Protein properties, interactions and developability</x:v>
      </x:c>
      <x:c r="D13" s="14" t="str">
        <x:v>NatureLM/PEER binarized stability — paper-specific protocol</x:v>
      </x:c>
      <x:c r="E13" s="14" t="str">
        <x:v>Main table</x:v>
      </x:c>
      <x:c r="F13" s="14" t="str">
        <x:v>Catalogued; not added to initial scope</x:v>
      </x:c>
      <x:c r="G13" s="14" t="str">
        <x:v>A | Text / sequence task interface described</x:v>
      </x:c>
      <x:c r="H13" s="14" t="str">
        <x:v>Keep separate from TAPE's continuous stability regression. Do not silently change the paper's endpoint.</x:v>
      </x:c>
    </x:row>
    <x:row r="14" ht="42" customHeight="1">
      <x:c r="A14" s="4" t="str">
        <x:v>P10</x:v>
      </x:c>
      <x:c r="B14" s="4" t="str">
        <x:v>Human protein–protein interaction — PEER</x:v>
      </x:c>
      <x:c r="C14" s="4" t="str">
        <x:v>Protein properties, interactions and developability</x:v>
      </x:c>
      <x:c r="D14" s="4" t="str">
        <x:v>Human/Pan and yeast/Guo PPI — PEER</x:v>
      </x:c>
      <x:c r="E14" s="4" t="str">
        <x:v>Main table</x:v>
      </x:c>
      <x:c r="F14" s="4" t="str">
        <x:v>Catalogued; not added to initial scope</x:v>
      </x:c>
      <x:c r="G14" s="4" t="str">
        <x:v>A | Text / sequence task interface described</x:v>
      </x:c>
      <x:c r="H14" s="4" t="str">
        <x:v>Not TCR–pMHC specificity and not a measured dissociation constant.</x:v>
      </x:c>
    </x:row>
    <x:row r="15" ht="42" customHeight="1">
      <x:c r="A15" s="14" t="str">
        <x:v>P11</x:v>
      </x:c>
      <x:c r="B15" s="14" t="str">
        <x:v>Yeast protein–protein interaction — PEER</x:v>
      </x:c>
      <x:c r="C15" s="14" t="str">
        <x:v>Protein properties, interactions and developability</x:v>
      </x:c>
      <x:c r="D15" s="14" t="str">
        <x:v>Human/Pan and yeast/Guo PPI — PEER</x:v>
      </x:c>
      <x:c r="E15" s="14" t="str">
        <x:v>Main table</x:v>
      </x:c>
      <x:c r="F15" s="14" t="str">
        <x:v>Catalogued; not added to initial scope</x:v>
      </x:c>
      <x:c r="G15" s="14" t="str">
        <x:v>A | Text / sequence task interface described</x:v>
      </x:c>
      <x:c r="H15" s="14" t="str">
        <x:v>Not TCR–pMHC specificity and not a measured dissociation constant.</x:v>
      </x:c>
    </x:row>
    <x:row r="16" ht="42" customHeight="1">
      <x:c r="A16" s="4" t="str">
        <x:v>P12</x:v>
      </x:c>
      <x:c r="B16" s="4" t="str">
        <x:v>Enzyme Commission labels — DeepFRI split</x:v>
      </x:c>
      <x:c r="C16" s="4" t="str">
        <x:v>Protein function, annotations and descriptions</x:v>
      </x:c>
      <x:c r="D16" s="4" t="str">
        <x:v>DeepFRI-derived EC and GO test splits</x:v>
      </x:c>
      <x:c r="E16" s="4" t="str">
        <x:v>Main table</x:v>
      </x:c>
      <x:c r="F16" s="4" t="str">
        <x:v>Catalogued; not added to initial scope</x:v>
      </x:c>
      <x:c r="G16" s="4" t="str">
        <x:v>B | New text-baseline adapter needed</x:v>
      </x:c>
      <x:c r="H16" s="4" t="str">
        <x:v>Multilabel annotation recovery; incomplete annotation is not verified absence of an activity.</x:v>
      </x:c>
    </x:row>
    <x:row r="17" ht="56" customHeight="1">
      <x:c r="A17" s="14" t="str">
        <x:v>P13</x:v>
      </x:c>
      <x:c r="B17" s="14" t="str">
        <x:v>GO biological process — DeepFRI split</x:v>
      </x:c>
      <x:c r="C17" s="14" t="str">
        <x:v>Protein function, annotations and descriptions</x:v>
      </x:c>
      <x:c r="D17" s="14" t="str">
        <x:v>DeepFRI-derived EC and GO test splits</x:v>
      </x:c>
      <x:c r="E17" s="14" t="str">
        <x:v>Main table</x:v>
      </x:c>
      <x:c r="F17" s="14" t="str">
        <x:v>Catalogued; not added to initial scope</x:v>
      </x:c>
      <x:c r="G17" s="14" t="str">
        <x:v>B | New text-baseline adapter needed</x:v>
      </x:c>
      <x:c r="H17" s="14" t="str">
        <x:v>Not a free-form rationale score. GO label incompleteness and ontology propagation affect evaluation.</x:v>
      </x:c>
    </x:row>
    <x:row r="18" ht="56" customHeight="1">
      <x:c r="A18" s="4" t="str">
        <x:v>P14</x:v>
      </x:c>
      <x:c r="B18" s="4" t="str">
        <x:v>GO molecular function — DeepFRI split</x:v>
      </x:c>
      <x:c r="C18" s="4" t="str">
        <x:v>Protein function, annotations and descriptions</x:v>
      </x:c>
      <x:c r="D18" s="4" t="str">
        <x:v>DeepFRI-derived EC and GO test splits</x:v>
      </x:c>
      <x:c r="E18" s="4" t="str">
        <x:v>Main table</x:v>
      </x:c>
      <x:c r="F18" s="4" t="str">
        <x:v>Catalogued; not added to initial scope</x:v>
      </x:c>
      <x:c r="G18" s="4" t="str">
        <x:v>B | New text-baseline adapter needed</x:v>
      </x:c>
      <x:c r="H18" s="4" t="str">
        <x:v>Not a free-form rationale score. GO label incompleteness and ontology propagation affect evaluation.</x:v>
      </x:c>
    </x:row>
    <x:row r="19" ht="56" customHeight="1">
      <x:c r="A19" s="14" t="str">
        <x:v>P15</x:v>
      </x:c>
      <x:c r="B19" s="14" t="str">
        <x:v>GO cellular component — DeepFRI split</x:v>
      </x:c>
      <x:c r="C19" s="14" t="str">
        <x:v>Protein function, annotations and descriptions</x:v>
      </x:c>
      <x:c r="D19" s="14" t="str">
        <x:v>DeepFRI-derived EC and GO test splits</x:v>
      </x:c>
      <x:c r="E19" s="14" t="str">
        <x:v>Main table</x:v>
      </x:c>
      <x:c r="F19" s="14" t="str">
        <x:v>Catalogued; not added to initial scope</x:v>
      </x:c>
      <x:c r="G19" s="14" t="str">
        <x:v>B | New text-baseline adapter needed</x:v>
      </x:c>
      <x:c r="H19" s="14" t="str">
        <x:v>Not a free-form rationale score. GO label incompleteness and ontology propagation affect evaluation.</x:v>
      </x:c>
    </x:row>
    <x:row r="20" ht="56" customHeight="1">
      <x:c r="A20" s="4" t="str">
        <x:v>P16</x:v>
      </x:c>
      <x:c r="B20" s="4" t="str">
        <x:v>Reaction class — zero-/few-shot</x:v>
      </x:c>
      <x:c r="C20" s="4" t="str">
        <x:v>Protein function, annotations and descriptions</x:v>
      </x:c>
      <x:c r="D20" s="4" t="str">
        <x:v>ProtST reaction classification — zero/few-shot</x:v>
      </x:c>
      <x:c r="E20" s="4" t="str">
        <x:v>Main table</x:v>
      </x:c>
      <x:c r="F20" s="4" t="str">
        <x:v>Catalogued; not added to initial scope</x:v>
      </x:c>
      <x:c r="G20" s="4" t="str">
        <x:v>B | New text-baseline adapter needed</x:v>
      </x:c>
      <x:c r="H20" s="4" t="str">
        <x:v>Zero-shot text-label matching is not the same protocol as fitting a fully supervised classifier.</x:v>
      </x:c>
    </x:row>
    <x:row r="21" ht="56" customHeight="1">
      <x:c r="A21" s="14" t="str">
        <x:v>P17</x:v>
      </x:c>
      <x:c r="B21" s="14" t="str">
        <x:v>ProteinGym DMS substitution benchmark</x:v>
      </x:c>
      <x:c r="C21" s="14" t="str">
        <x:v>Mutation ranking, affinity and local optimization</x:v>
      </x:c>
      <x:c r="D21" s="14" t="str">
        <x:v>ProteinGym substitutions — historical ProtST evaluation</x:v>
      </x:c>
      <x:c r="E21" s="14" t="str">
        <x:v>Main table</x:v>
      </x:c>
      <x:c r="F21" s="14" t="str">
        <x:v>Catalogued; not added to initial scope</x:v>
      </x:c>
      <x:c r="G21" s="14" t="str">
        <x:v>B | New text-baseline adapter needed</x:v>
      </x:c>
      <x:c r="H21" s="14" t="str">
        <x:v>Score within each assay. Different assay scores are not a shared physical unit; fitness is not always binding.</x:v>
      </x:c>
    </x:row>
    <x:row r="22" ht="56" customHeight="1">
      <x:c r="A22" s="4" t="str">
        <x:v>P18</x:v>
      </x:c>
      <x:c r="B22" s="4" t="str">
        <x:v>PG-LLM / ProteinGym-LLM ranking</x:v>
      </x:c>
      <x:c r="C22" s="4" t="str">
        <x:v>Mutation ranking, affinity and local optimization</x:v>
      </x:c>
      <x:c r="D22" s="4" t="str">
        <x:v>PG-LLM / ProteinGym-LLM — eval-data-v1.2</x:v>
      </x:c>
      <x:c r="E22" s="4" t="str">
        <x:v>Main table</x:v>
      </x:c>
      <x:c r="F22" s="4" t="str">
        <x:v>Original initial scope</x:v>
      </x:c>
      <x:c r="G22" s="4" t="str">
        <x:v>A | Text / sequence task interface described</x:v>
      </x:c>
      <x:c r="H22" s="4" t="str">
        <x:v>Evaluation-only: do not train, tune prompts, distill or perform retrieval augmentation using these candidate sets/labels.</x:v>
      </x:c>
    </x:row>
    <x:row r="23" ht="56" customHeight="1">
      <x:c r="A23" s="14" t="str">
        <x:v>P19</x:v>
      </x:c>
      <x:c r="B23" s="14" t="str">
        <x:v>PFArena T1: single-mutant generation</x:v>
      </x:c>
      <x:c r="C23" s="14" t="str">
        <x:v>Mutation ranking, affinity and local optimization</x:v>
      </x:c>
      <x:c r="D23" s="14" t="str">
        <x:v>PFArena — four task settings</x:v>
      </x:c>
      <x:c r="E23" s="14" t="str">
        <x:v>Main table</x:v>
      </x:c>
      <x:c r="F23" s="14" t="str">
        <x:v>Catalogued; not added to initial scope</x:v>
      </x:c>
      <x:c r="G23" s="14" t="str">
        <x:v>A | Text / sequence task interface described</x:v>
      </x:c>
      <x:c r="H23" s="14" t="str">
        <x:v>The tasks differ in permitted evidence. 'Anchor' is a tested mutant, not an HLA anchor residue. Assay sets overlap.</x:v>
      </x:c>
    </x:row>
    <x:row r="24" ht="56" customHeight="1">
      <x:c r="A24" s="4" t="str">
        <x:v>P20</x:v>
      </x:c>
      <x:c r="B24" s="4" t="str">
        <x:v>PFArena T2: measurement-free multi-mutant ranking</x:v>
      </x:c>
      <x:c r="C24" s="4" t="str">
        <x:v>Mutation ranking, affinity and local optimization</x:v>
      </x:c>
      <x:c r="D24" s="4" t="str">
        <x:v>PFArena — four task settings</x:v>
      </x:c>
      <x:c r="E24" s="4" t="str">
        <x:v>Main table</x:v>
      </x:c>
      <x:c r="F24" s="4" t="str">
        <x:v>Catalogued; not added to initial scope</x:v>
      </x:c>
      <x:c r="G24" s="4" t="str">
        <x:v>A | Text / sequence task interface described</x:v>
      </x:c>
      <x:c r="H24" s="4" t="str">
        <x:v>The tasks differ in permitted evidence. 'Anchor' is a tested mutant, not an HLA anchor residue. Assay sets overlap.</x:v>
      </x:c>
    </x:row>
    <x:row r="25" ht="56" customHeight="1">
      <x:c r="A25" s="14" t="str">
        <x:v>P21</x:v>
      </x:c>
      <x:c r="B25" s="14" t="str">
        <x:v>PFArena T3: anchor-informed ranking</x:v>
      </x:c>
      <x:c r="C25" s="14" t="str">
        <x:v>Mutation ranking, affinity and local optimization</x:v>
      </x:c>
      <x:c r="D25" s="14" t="str">
        <x:v>PFArena — four task settings</x:v>
      </x:c>
      <x:c r="E25" s="14" t="str">
        <x:v>Main table</x:v>
      </x:c>
      <x:c r="F25" s="14" t="str">
        <x:v>Catalogued; not added to initial scope</x:v>
      </x:c>
      <x:c r="G25" s="14" t="str">
        <x:v>A | Text / sequence task interface described</x:v>
      </x:c>
      <x:c r="H25" s="14" t="str">
        <x:v>The tasks differ in permitted evidence. 'Anchor' is a tested mutant, not an HLA anchor residue. Assay sets overlap.</x:v>
      </x:c>
    </x:row>
    <x:row r="26" ht="56" customHeight="1">
      <x:c r="A26" s="4" t="str">
        <x:v>P22</x:v>
      </x:c>
      <x:c r="B26" s="4" t="str">
        <x:v>PFArena T4: single-mutant-informed ranking</x:v>
      </x:c>
      <x:c r="C26" s="4" t="str">
        <x:v>Mutation ranking, affinity and local optimization</x:v>
      </x:c>
      <x:c r="D26" s="4" t="str">
        <x:v>PFArena — four task settings</x:v>
      </x:c>
      <x:c r="E26" s="4" t="str">
        <x:v>Main table</x:v>
      </x:c>
      <x:c r="F26" s="4" t="str">
        <x:v>Catalogued; not added to initial scope</x:v>
      </x:c>
      <x:c r="G26" s="4" t="str">
        <x:v>A | Text / sequence task interface described</x:v>
      </x:c>
      <x:c r="H26" s="4" t="str">
        <x:v>The tasks differ in permitted evidence. 'Anchor' is a tested mutant, not an HLA anchor residue. Assay sets overlap.</x:v>
      </x:c>
    </x:row>
    <x:row r="27" ht="42" customHeight="1">
      <x:c r="A27" s="14" t="str">
        <x:v>P23</x:v>
      </x:c>
      <x:c r="B27" s="14" t="str">
        <x:v>Mol-Instructions: Protein function generation</x:v>
      </x:c>
      <x:c r="C27" s="14" t="str">
        <x:v>Protein function, annotations and descriptions</x:v>
      </x:c>
      <x:c r="D27" s="14" t="str">
        <x:v>Mol-Instructions — four protein-description subsets</x:v>
      </x:c>
      <x:c r="E27" s="14" t="str">
        <x:v>Main table</x:v>
      </x:c>
      <x:c r="F27" s="14" t="str">
        <x:v>Original initial scope</x:v>
      </x:c>
      <x:c r="G27" s="14" t="str">
        <x:v>A | Text / sequence task interface described</x:v>
      </x:c>
      <x:c r="H27" s="14" t="str">
        <x:v>Text overlap can reward similar wording without validating every biological claim.</x:v>
      </x:c>
    </x:row>
    <x:row r="28" ht="42" customHeight="1">
      <x:c r="A28" s="4" t="str">
        <x:v>P24</x:v>
      </x:c>
      <x:c r="B28" s="4" t="str">
        <x:v>Mol-Instructions: Catalytic activity generation</x:v>
      </x:c>
      <x:c r="C28" s="4" t="str">
        <x:v>Protein function, annotations and descriptions</x:v>
      </x:c>
      <x:c r="D28" s="4" t="str">
        <x:v>Mol-Instructions — four protein-description subsets</x:v>
      </x:c>
      <x:c r="E28" s="4" t="str">
        <x:v>Main table</x:v>
      </x:c>
      <x:c r="F28" s="4" t="str">
        <x:v>Original initial scope</x:v>
      </x:c>
      <x:c r="G28" s="4" t="str">
        <x:v>A | Text / sequence task interface described</x:v>
      </x:c>
      <x:c r="H28" s="4" t="str">
        <x:v>Text overlap can reward similar wording without validating every biological claim.</x:v>
      </x:c>
    </x:row>
    <x:row r="29" ht="42" customHeight="1">
      <x:c r="A29" s="14" t="str">
        <x:v>P25</x:v>
      </x:c>
      <x:c r="B29" s="14" t="str">
        <x:v>Mol-Instructions: Domain and motif generation</x:v>
      </x:c>
      <x:c r="C29" s="14" t="str">
        <x:v>Protein function, annotations and descriptions</x:v>
      </x:c>
      <x:c r="D29" s="14" t="str">
        <x:v>Mol-Instructions — four protein-description subsets</x:v>
      </x:c>
      <x:c r="E29" s="14" t="str">
        <x:v>Main table</x:v>
      </x:c>
      <x:c r="F29" s="14" t="str">
        <x:v>Original initial scope</x:v>
      </x:c>
      <x:c r="G29" s="14" t="str">
        <x:v>A | Text / sequence task interface described</x:v>
      </x:c>
      <x:c r="H29" s="14" t="str">
        <x:v>Text overlap can reward similar wording without validating every biological claim.</x:v>
      </x:c>
    </x:row>
    <x:row r="30" ht="42" customHeight="1">
      <x:c r="A30" s="4" t="str">
        <x:v>P26</x:v>
      </x:c>
      <x:c r="B30" s="4" t="str">
        <x:v>Mol-Instructions: Functional description generation</x:v>
      </x:c>
      <x:c r="C30" s="4" t="str">
        <x:v>Protein function, annotations and descriptions</x:v>
      </x:c>
      <x:c r="D30" s="4" t="str">
        <x:v>Mol-Instructions — four protein-description subsets</x:v>
      </x:c>
      <x:c r="E30" s="4" t="str">
        <x:v>Main table</x:v>
      </x:c>
      <x:c r="F30" s="4" t="str">
        <x:v>Original initial scope</x:v>
      </x:c>
      <x:c r="G30" s="4" t="str">
        <x:v>A | Text / sequence task interface described</x:v>
      </x:c>
      <x:c r="H30" s="4" t="str">
        <x:v>Text overlap can reward similar wording without validating every biological claim.</x:v>
      </x:c>
    </x:row>
    <x:row r="31" ht="42" customHeight="1">
      <x:c r="A31" s="14" t="str">
        <x:v>P27</x:v>
      </x:c>
      <x:c r="B31" s="14" t="str">
        <x:v>NatureLM protein description</x:v>
      </x:c>
      <x:c r="C31" s="14" t="str">
        <x:v>Protein function, annotations and descriptions</x:v>
      </x:c>
      <x:c r="D31" s="14" t="str">
        <x:v>NatureLM's NCBI protein-description holdout</x:v>
      </x:c>
      <x:c r="E31" s="14" t="str">
        <x:v>Main table</x:v>
      </x:c>
      <x:c r="F31" s="14" t="str">
        <x:v>Catalogued; not added to initial scope</x:v>
      </x:c>
      <x:c r="G31" s="14" t="str">
        <x:v>F | Special protocol or missing exact benchmark</x:v>
      </x:c>
      <x:c r="H31" s="14" t="str">
        <x:v>Do not replace its temporal test with arbitrary UniProt rows and claim exact reproduction.</x:v>
      </x:c>
    </x:row>
    <x:row r="32" ht="56" customHeight="1">
      <x:c r="A32" s="4" t="str">
        <x:v>P28</x:v>
      </x:c>
      <x:c r="B32" s="4" t="str">
        <x:v>BioReason-Pro temporal GO test</x:v>
      </x:c>
      <x:c r="C32" s="4" t="str">
        <x:v>Protein function, annotations and descriptions</x:v>
      </x:c>
      <x:c r="D32" s="4" t="str">
        <x:v>BioReason-Pro temporal GO test</x:v>
      </x:c>
      <x:c r="E32" s="4" t="str">
        <x:v>Main table</x:v>
      </x:c>
      <x:c r="F32" s="4" t="str">
        <x:v>Catalogued; not added to initial scope</x:v>
      </x:c>
      <x:c r="G32" s="4" t="str">
        <x:v>B | New text-baseline adapter needed</x:v>
      </x:c>
      <x:c r="H32" s="4" t="str">
        <x:v>No observed label is not proof of no function. Separate predicted context from gold annotations.</x:v>
      </x:c>
    </x:row>
    <x:row r="33" ht="56" customHeight="1">
      <x:c r="A33" s="14" t="str">
        <x:v>P29</x:v>
      </x:c>
      <x:c r="B33" s="14" t="str">
        <x:v>Bio-posttrain species-held-out GO test</x:v>
      </x:c>
      <x:c r="C33" s="14" t="str">
        <x:v>Protein function, annotations and descriptions</x:v>
      </x:c>
      <x:c r="D33" s="14" t="str">
        <x:v>Bio-posttrain species-held-out protein GO</x:v>
      </x:c>
      <x:c r="E33" s="14" t="str">
        <x:v>Main table</x:v>
      </x:c>
      <x:c r="F33" s="14" t="str">
        <x:v>Catalogued; not added to initial scope</x:v>
      </x:c>
      <x:c r="G33" s="14" t="str">
        <x:v>B | New text-baseline adapter needed</x:v>
      </x:c>
      <x:c r="H33" s="14" t="str">
        <x:v>Do not substitute the original BioReason-Pro 8,630-protein split or its Fmax scorer without documenting the change.</x:v>
      </x:c>
    </x:row>
    <x:row r="34" ht="56" customHeight="1">
      <x:c r="A34" s="4" t="str">
        <x:v>P30</x:v>
      </x:c>
      <x:c r="B34" s="4" t="str">
        <x:v>MutaDescribe mutation explanation</x:v>
      </x:c>
      <x:c r="C34" s="4" t="str">
        <x:v>Mutation-effect interpretation</x:v>
      </x:c>
      <x:c r="D34" s="4" t="str">
        <x:v>MutaDescribe — mutation explanation</x:v>
      </x:c>
      <x:c r="E34" s="4" t="str">
        <x:v>Main table</x:v>
      </x:c>
      <x:c r="F34" s="4" t="str">
        <x:v>Original initial scope</x:v>
      </x:c>
      <x:c r="G34" s="4" t="str">
        <x:v>A | Text / sequence task interface described</x:v>
      </x:c>
      <x:c r="H34" s="4" t="str">
        <x:v>Similarity tiers do not make the entire split homology-disjoint. Judge output is not independent experimental verification.</x:v>
      </x:c>
    </x:row>
    <x:row r="35" ht="42" customHeight="1">
      <x:c r="A35" s="14" t="str">
        <x:v>P31</x:v>
      </x:c>
      <x:c r="B35" s="14" t="str">
        <x:v>MutaDescribe mutation engineering — position supplied</x:v>
      </x:c>
      <x:c r="C35" s="14" t="str">
        <x:v>Mutation ranking, affinity and local optimization</x:v>
      </x:c>
      <x:c r="D35" s="14" t="str">
        <x:v>MutaDescribe — mutation engineering</x:v>
      </x:c>
      <x:c r="E35" s="14" t="str">
        <x:v>Main table</x:v>
      </x:c>
      <x:c r="F35" s="14" t="str">
        <x:v>Original initial scope</x:v>
      </x:c>
      <x:c r="G35" s="14" t="str">
        <x:v>A | Text / sequence task interface described</x:v>
      </x:c>
      <x:c r="H35" s="14" t="str">
        <x:v>Recovery of one annotated mutation is not the fraction of novel designs that work.</x:v>
      </x:c>
    </x:row>
    <x:row r="36" ht="42" customHeight="1">
      <x:c r="A36" s="4" t="str">
        <x:v>P32</x:v>
      </x:c>
      <x:c r="B36" s="4" t="str">
        <x:v>MutaDescribe mutation engineering — position unknown</x:v>
      </x:c>
      <x:c r="C36" s="4" t="str">
        <x:v>Mutation ranking, affinity and local optimization</x:v>
      </x:c>
      <x:c r="D36" s="4" t="str">
        <x:v>MutaDescribe — mutation engineering</x:v>
      </x:c>
      <x:c r="E36" s="4" t="str">
        <x:v>Main table</x:v>
      </x:c>
      <x:c r="F36" s="4" t="str">
        <x:v>Original initial scope</x:v>
      </x:c>
      <x:c r="G36" s="4" t="str">
        <x:v>A | Text / sequence task interface described</x:v>
      </x:c>
      <x:c r="H36" s="4" t="str">
        <x:v>A different useful but unannotated mutation can score as a miss.</x:v>
      </x:c>
    </x:row>
    <x:row r="37" ht="56" customHeight="1">
      <x:c r="A37" s="14" t="str">
        <x:v>P33</x:v>
      </x:c>
      <x:c r="B37" s="14" t="str">
        <x:v>MutaPLM low-N fitness regression</x:v>
      </x:c>
      <x:c r="C37" s="14" t="str">
        <x:v>Mutation ranking, affinity and local optimization</x:v>
      </x:c>
      <x:c r="D37" s="14" t="str">
        <x:v>MutaPLM low-data fitness regression</x:v>
      </x:c>
      <x:c r="E37" s="14" t="str">
        <x:v>Main table</x:v>
      </x:c>
      <x:c r="F37" s="14" t="str">
        <x:v>Catalogued; not added to initial scope</x:v>
      </x:c>
      <x:c r="G37" s="14" t="str">
        <x:v>F | Special protocol or missing exact benchmark</x:v>
      </x:c>
      <x:c r="H37" s="14" t="str">
        <x:v>This is supervised low-N prediction, not zero-shot generation. Do not reuse the labeled seed points as test examples.</x:v>
      </x:c>
    </x:row>
    <x:row r="38" ht="42" customHeight="1">
      <x:c r="A38" s="4" t="str">
        <x:v>P34</x:v>
      </x:c>
      <x:c r="B38" s="4" t="str">
        <x:v>MutaPLM iterative sequence optimization</x:v>
      </x:c>
      <x:c r="C38" s="4" t="str">
        <x:v>Mutation ranking, affinity and local optimization</x:v>
      </x:c>
      <x:c r="D38" s="4" t="str">
        <x:v>MutaPLM iterative optimization</x:v>
      </x:c>
      <x:c r="E38" s="4" t="str">
        <x:v>Cases &amp; diagnostics</x:v>
      </x:c>
      <x:c r="F38" s="4" t="str">
        <x:v>Catalogued; not added to initial scope</x:v>
      </x:c>
      <x:c r="G38" s="4" t="str">
        <x:v>C | Text generation + specialist scorer / loop</x:v>
      </x:c>
      <x:c r="H38" s="4" t="str">
        <x:v>A learned scorer can be exploited; this experiment is not prospective laboratory success.</x:v>
      </x:c>
    </x:row>
    <x:row r="39" ht="56" customHeight="1">
      <x:c r="A39" s="14" t="str">
        <x:v>P35</x:v>
      </x:c>
      <x:c r="B39" s="14" t="str">
        <x:v>ProtST text-to-protein retrieval</x:v>
      </x:c>
      <x:c r="C39" s="14" t="str">
        <x:v>Protein function, annotations and descriptions</x:v>
      </x:c>
      <x:c r="D39" s="14" t="str">
        <x:v>ProtST text-to-protein retrieval examples</x:v>
      </x:c>
      <x:c r="E39" s="14" t="str">
        <x:v>Cases &amp; diagnostics</x:v>
      </x:c>
      <x:c r="F39" s="14" t="str">
        <x:v>Catalogued; not added to initial scope</x:v>
      </x:c>
      <x:c r="G39" s="14" t="str">
        <x:v>F | Special protocol or missing exact benchmark</x:v>
      </x:c>
      <x:c r="H39" s="14" t="str">
        <x:v>Docking and known annotations support case analysis; they do not prove all retrieved candidates bind experimentally.</x:v>
      </x:c>
    </x:row>
    <x:row r="40" ht="42" customHeight="1">
      <x:c r="A40" s="4" t="str">
        <x:v>P36</x:v>
      </x:c>
      <x:c r="B40" s="4" t="str">
        <x:v>BioT5+ description-guided protein design</x:v>
      </x:c>
      <x:c r="C40" s="4" t="str">
        <x:v>Protein design</x:v>
      </x:c>
      <x:c r="D40" s="4" t="str">
        <x:v>BioT5+ description-guided protein generation</x:v>
      </x:c>
      <x:c r="E40" s="4" t="str">
        <x:v>Cases &amp; diagnostics</x:v>
      </x:c>
      <x:c r="F40" s="4" t="str">
        <x:v>Catalogued; not added to initial scope</x:v>
      </x:c>
      <x:c r="G40" s="4" t="str">
        <x:v>F | Special protocol or missing exact benchmark</x:v>
      </x:c>
      <x:c r="H40" s="4" t="str">
        <x:v>A plausible or similar sequence is not a measured successful design.</x:v>
      </x:c>
    </x:row>
    <x:row r="41" ht="42" customHeight="1">
      <x:c r="A41" s="14" t="str">
        <x:v>P37</x:v>
      </x:c>
      <x:c r="B41" s="14" t="str">
        <x:v>NatureLM unconditional generation</x:v>
      </x:c>
      <x:c r="C41" s="14" t="str">
        <x:v>Protein design</x:v>
      </x:c>
      <x:c r="D41" s="14" t="str">
        <x:v>NatureLM generated proteins: unconditional / property-conditioned / heme</x:v>
      </x:c>
      <x:c r="E41" s="14" t="str">
        <x:v>Cases &amp; diagnostics</x:v>
      </x:c>
      <x:c r="F41" s="14" t="str">
        <x:v>Catalogued; not added to initial scope</x:v>
      </x:c>
      <x:c r="G41" s="14" t="str">
        <x:v>C | Text generation + specialist scorer / loop</x:v>
      </x:c>
      <x:c r="H41" s="14" t="str">
        <x:v>Diversity and predicted structure confidence do not establish function.</x:v>
      </x:c>
    </x:row>
    <x:row r="42" ht="56" customHeight="1">
      <x:c r="A42" s="4" t="str">
        <x:v>P38</x:v>
      </x:c>
      <x:c r="B42" s="4" t="str">
        <x:v>NatureLM stability/solubility-conditioned generation</x:v>
      </x:c>
      <x:c r="C42" s="4" t="str">
        <x:v>Protein design</x:v>
      </x:c>
      <x:c r="D42" s="4" t="str">
        <x:v>NatureLM generated proteins: unconditional / property-conditioned / heme</x:v>
      </x:c>
      <x:c r="E42" s="4" t="str">
        <x:v>Cases &amp; diagnostics</x:v>
      </x:c>
      <x:c r="F42" s="4" t="str">
        <x:v>Catalogued; not added to initial scope</x:v>
      </x:c>
      <x:c r="G42" s="4" t="str">
        <x:v>C | Text generation + specialist scorer / loop</x:v>
      </x:c>
      <x:c r="H42" s="4" t="str">
        <x:v>Predictor agreement, not experimentally measured stability/solubility of each generated sequence.</x:v>
      </x:c>
    </x:row>
    <x:row r="43" ht="42" customHeight="1">
      <x:c r="A43" s="14" t="str">
        <x:v>P39</x:v>
      </x:c>
      <x:c r="B43" s="14" t="str">
        <x:v>NatureLM heme-binding case study</x:v>
      </x:c>
      <x:c r="C43" s="14" t="str">
        <x:v>Protein design</x:v>
      </x:c>
      <x:c r="D43" s="14" t="str">
        <x:v>NatureLM generated proteins: unconditional / property-conditioned / heme</x:v>
      </x:c>
      <x:c r="E43" s="14" t="str">
        <x:v>Cases &amp; diagnostics</x:v>
      </x:c>
      <x:c r="F43" s="14" t="str">
        <x:v>Catalogued; not added to initial scope</x:v>
      </x:c>
      <x:c r="G43" s="14" t="str">
        <x:v>F | Special protocol or missing exact benchmark</x:v>
      </x:c>
      <x:c r="H43" s="14" t="str">
        <x:v>Self-description is not independent validation; predicted complexes are not measured binding.</x:v>
      </x:c>
    </x:row>
    <x:row r="44" ht="42" customHeight="1">
      <x:c r="A44" s="4" t="str">
        <x:v>P40</x:v>
      </x:c>
      <x:c r="B44" s="4" t="str">
        <x:v>RAbD CDR-H3 redesign</x:v>
      </x:c>
      <x:c r="C44" s="4" t="str">
        <x:v>Protein design</x:v>
      </x:c>
      <x:c r="D44" s="4" t="str">
        <x:v>RAbD — CDR-H3 redesign</x:v>
      </x:c>
      <x:c r="E44" s="4" t="str">
        <x:v>Main table</x:v>
      </x:c>
      <x:c r="F44" s="4" t="str">
        <x:v>Catalogued; not added to initial scope</x:v>
      </x:c>
      <x:c r="G44" s="4" t="str">
        <x:v>E | Full structural-design setting</x:v>
      </x:c>
      <x:c r="H44" s="4" t="str">
        <x:v>High native recovery or geometric similarity does not imply measured binding for a new design.</x:v>
      </x:c>
    </x:row>
    <x:row r="45" ht="56" customHeight="1">
      <x:c r="A45" s="14" t="str">
        <x:v>P41</x:v>
      </x:c>
      <x:c r="B45" s="14" t="str">
        <x:v>Proteo-R1 all-CDR SAbDab holdout</x:v>
      </x:c>
      <x:c r="C45" s="14" t="str">
        <x:v>Protein design</x:v>
      </x:c>
      <x:c r="D45" s="14" t="str">
        <x:v>SAbDab — Proteo-R1 all-CDR holdout</x:v>
      </x:c>
      <x:c r="E45" s="14" t="str">
        <x:v>Main table</x:v>
      </x:c>
      <x:c r="F45" s="14" t="str">
        <x:v>Catalogued; not added to initial scope</x:v>
      </x:c>
      <x:c r="G45" s="14" t="str">
        <x:v>E | Full structural-design setting</x:v>
      </x:c>
      <x:c r="H45" s="14" t="str">
        <x:v>Computational reconstruction/design. The original docking pose is assumed known; not unconstrained binder discovery.</x:v>
      </x:c>
    </x:row>
    <x:row r="46" ht="56" customHeight="1">
      <x:c r="A46" s="4" t="str">
        <x:v>P42</x:v>
      </x:c>
      <x:c r="B46" s="4" t="str">
        <x:v>STRIDE GFP generated-candidate evaluation</x:v>
      </x:c>
      <x:c r="C46" s="4" t="str">
        <x:v>Protein design</x:v>
      </x:c>
      <x:c r="D46" s="4" t="str">
        <x:v>STRIDE GFP sequence optimization</x:v>
      </x:c>
      <x:c r="E46" s="4" t="str">
        <x:v>Cases &amp; diagnostics</x:v>
      </x:c>
      <x:c r="F46" s="4" t="str">
        <x:v>Catalogued; not added to initial scope</x:v>
      </x:c>
      <x:c r="G46" s="4" t="str">
        <x:v>C | Text generation + specialist scorer / loop</x:v>
      </x:c>
      <x:c r="H46" s="4" t="str">
        <x:v>These 100 candidates are not a wet-lab test set. Correctly applying edits does not validate fluorescence.</x:v>
      </x:c>
    </x:row>
    <x:row r="47" ht="42" customHeight="1">
      <x:c r="A47" s="14" t="str">
        <x:v>P43</x:v>
      </x:c>
      <x:c r="B47" s="14" t="str">
        <x:v>Drug–target interaction — BioSNAP/Human/BindingDB</x:v>
      </x:c>
      <x:c r="C47" s="14" t="str">
        <x:v>Other biological modalities and molecular interactions</x:v>
      </x:c>
      <x:c r="D47" s="14" t="str">
        <x:v>Drug–target interaction: BioSNAP / Human / BindingDB</x:v>
      </x:c>
      <x:c r="E47" s="14" t="str">
        <x:v>Main table</x:v>
      </x:c>
      <x:c r="F47" s="14" t="str">
        <x:v>Catalogued; not added to initial scope</x:v>
      </x:c>
      <x:c r="G47" s="14" t="str">
        <x:v>B | New text-baseline adapter needed</x:v>
      </x:c>
      <x:c r="H47" s="14" t="str">
        <x:v>Secondary to the protein focus. Not protein–protein recognition or Affibody–pMHC evaluation.</x:v>
      </x:c>
    </x:row>
    <x:row r="48" ht="42" customHeight="1">
      <x:c r="A48" s="4" t="str">
        <x:v>P44</x:v>
      </x:c>
      <x:c r="B48" s="4" t="str">
        <x:v>BioReason-Pro explanation assessment</x:v>
      </x:c>
      <x:c r="C48" s="4" t="str">
        <x:v>Protein function, annotations and descriptions</x:v>
      </x:c>
      <x:c r="D48" s="4" t="str">
        <x:v>BioReason-Pro explanation review</x:v>
      </x:c>
      <x:c r="E48" s="4" t="str">
        <x:v>Cases &amp; diagnostics</x:v>
      </x:c>
      <x:c r="F48" s="4" t="str">
        <x:v>Catalogued; not added to initial scope</x:v>
      </x:c>
      <x:c r="G48" s="4" t="str">
        <x:v>F | Special protocol or missing exact benchmark</x:v>
      </x:c>
      <x:c r="H48" s="4" t="str">
        <x:v>Correct GO labels do not guarantee that every intermediate statement is true.</x:v>
      </x:c>
    </x:row>
    <x:row r="49" ht="70" customHeight="1">
      <x:c r="A49" s="14" t="str">
        <x:v>B01</x:v>
      </x:c>
      <x:c r="B49" s="14" t="str">
        <x:v>LAB-Bench / LitQA2</x:v>
      </x:c>
      <x:c r="C49" s="14" t="str">
        <x:v>Scientific evidence and biological knowledge</x:v>
      </x:c>
      <x:c r="D49" s="14" t="str">
        <x:v>LAB-Bench — research tasks</x:v>
      </x:c>
      <x:c r="E49" s="14" t="str">
        <x:v>Main table</x:v>
      </x:c>
      <x:c r="F49" s="14" t="str">
        <x:v>Original initial scope</x:v>
      </x:c>
      <x:c r="G49" s="14" t="str">
        <x:v>A | Text / sequence task interface described</x:v>
      </x:c>
      <x:c r="H49" s="14" t="str">
        <x:v>Keep resource access fixed. Original model evaluation was tool-free, unlike human baseline. MCQ success can partly reflect distractor elimination.</x:v>
      </x:c>
    </x:row>
    <x:row r="50" ht="70" customHeight="1">
      <x:c r="A50" s="4" t="str">
        <x:v>B02</x:v>
      </x:c>
      <x:c r="B50" s="4" t="str">
        <x:v>LAB-Bench / DbQA</x:v>
      </x:c>
      <x:c r="C50" s="4" t="str">
        <x:v>Scientific evidence and biological knowledge</x:v>
      </x:c>
      <x:c r="D50" s="4" t="str">
        <x:v>LAB-Bench — research tasks</x:v>
      </x:c>
      <x:c r="E50" s="4" t="str">
        <x:v>Main table</x:v>
      </x:c>
      <x:c r="F50" s="4" t="str">
        <x:v>Original initial scope</x:v>
      </x:c>
      <x:c r="G50" s="4" t="str">
        <x:v>A | Text / sequence task interface described</x:v>
      </x:c>
      <x:c r="H50" s="4" t="str">
        <x:v>Keep resource access fixed. Original model evaluation was tool-free, unlike human baseline. MCQ success can partly reflect distractor elimination.</x:v>
      </x:c>
    </x:row>
    <x:row r="51" ht="70" customHeight="1">
      <x:c r="A51" s="14" t="str">
        <x:v>B03</x:v>
      </x:c>
      <x:c r="B51" s="14" t="str">
        <x:v>LAB-Bench / SuppQA</x:v>
      </x:c>
      <x:c r="C51" s="14" t="str">
        <x:v>Scientific evidence and biological knowledge</x:v>
      </x:c>
      <x:c r="D51" s="14" t="str">
        <x:v>LAB-Bench — research tasks</x:v>
      </x:c>
      <x:c r="E51" s="14" t="str">
        <x:v>Main table</x:v>
      </x:c>
      <x:c r="F51" s="14" t="str">
        <x:v>Original initial scope</x:v>
      </x:c>
      <x:c r="G51" s="14" t="str">
        <x:v>A | Text / sequence task interface described</x:v>
      </x:c>
      <x:c r="H51" s="14" t="str">
        <x:v>Keep resource access fixed. Original model evaluation was tool-free, unlike human baseline. MCQ success can partly reflect distractor elimination.</x:v>
      </x:c>
    </x:row>
    <x:row r="52" ht="70" customHeight="1">
      <x:c r="A52" s="4" t="str">
        <x:v>B04</x:v>
      </x:c>
      <x:c r="B52" s="4" t="str">
        <x:v>LAB-Bench / FigQA</x:v>
      </x:c>
      <x:c r="C52" s="4" t="str">
        <x:v>Scientific evidence and biological knowledge</x:v>
      </x:c>
      <x:c r="D52" s="4" t="str">
        <x:v>LAB-Bench — research tasks</x:v>
      </x:c>
      <x:c r="E52" s="4" t="str">
        <x:v>Main table</x:v>
      </x:c>
      <x:c r="F52" s="4" t="str">
        <x:v>Catalogued; not added to initial scope</x:v>
      </x:c>
      <x:c r="G52" s="4" t="str">
        <x:v>D | Image input required by original test</x:v>
      </x:c>
      <x:c r="H52" s="4" t="str">
        <x:v>Keep resource access fixed. Original model evaluation was tool-free, unlike human baseline. MCQ success can partly reflect distractor elimination.</x:v>
      </x:c>
    </x:row>
    <x:row r="53" ht="70" customHeight="1">
      <x:c r="A53" s="14" t="str">
        <x:v>B05</x:v>
      </x:c>
      <x:c r="B53" s="14" t="str">
        <x:v>LAB-Bench / TableQA</x:v>
      </x:c>
      <x:c r="C53" s="14" t="str">
        <x:v>Scientific evidence and biological knowledge</x:v>
      </x:c>
      <x:c r="D53" s="14" t="str">
        <x:v>LAB-Bench — research tasks</x:v>
      </x:c>
      <x:c r="E53" s="14" t="str">
        <x:v>Main table</x:v>
      </x:c>
      <x:c r="F53" s="14" t="str">
        <x:v>Catalogued; not added to initial scope</x:v>
      </x:c>
      <x:c r="G53" s="14" t="str">
        <x:v>D | Image input required by original test</x:v>
      </x:c>
      <x:c r="H53" s="14" t="str">
        <x:v>Keep resource access fixed. Original model evaluation was tool-free, unlike human baseline. MCQ success can partly reflect distractor elimination.</x:v>
      </x:c>
    </x:row>
    <x:row r="54" ht="70" customHeight="1">
      <x:c r="A54" s="4" t="str">
        <x:v>B06</x:v>
      </x:c>
      <x:c r="B54" s="4" t="str">
        <x:v>LAB-Bench / ProtocolQA</x:v>
      </x:c>
      <x:c r="C54" s="4" t="str">
        <x:v>Scientific evidence and biological knowledge</x:v>
      </x:c>
      <x:c r="D54" s="4" t="str">
        <x:v>LAB-Bench — research tasks</x:v>
      </x:c>
      <x:c r="E54" s="4" t="str">
        <x:v>Main table</x:v>
      </x:c>
      <x:c r="F54" s="4" t="str">
        <x:v>Original initial scope</x:v>
      </x:c>
      <x:c r="G54" s="4" t="str">
        <x:v>A | Text / sequence task interface described</x:v>
      </x:c>
      <x:c r="H54" s="4" t="str">
        <x:v>Keep resource access fixed. Original model evaluation was tool-free, unlike human baseline. MCQ success can partly reflect distractor elimination.</x:v>
      </x:c>
    </x:row>
    <x:row r="55" ht="70" customHeight="1">
      <x:c r="A55" s="14" t="str">
        <x:v>B07</x:v>
      </x:c>
      <x:c r="B55" s="14" t="str">
        <x:v>LAB-Bench / SeqQA</x:v>
      </x:c>
      <x:c r="C55" s="14" t="str">
        <x:v>Scientific evidence and biological knowledge</x:v>
      </x:c>
      <x:c r="D55" s="14" t="str">
        <x:v>LAB-Bench — research tasks</x:v>
      </x:c>
      <x:c r="E55" s="14" t="str">
        <x:v>Main table</x:v>
      </x:c>
      <x:c r="F55" s="14" t="str">
        <x:v>Original initial scope</x:v>
      </x:c>
      <x:c r="G55" s="14" t="str">
        <x:v>A | Text / sequence task interface described</x:v>
      </x:c>
      <x:c r="H55" s="14" t="str">
        <x:v>Keep resource access fixed. Original model evaluation was tool-free, unlike human baseline. MCQ success can partly reflect distractor elimination.</x:v>
      </x:c>
    </x:row>
    <x:row r="56" ht="70" customHeight="1">
      <x:c r="A56" s="4" t="str">
        <x:v>B08</x:v>
      </x:c>
      <x:c r="B56" s="4" t="str">
        <x:v>LAB-Bench / Cloning scenarios</x:v>
      </x:c>
      <x:c r="C56" s="4" t="str">
        <x:v>Scientific evidence and biological knowledge</x:v>
      </x:c>
      <x:c r="D56" s="4" t="str">
        <x:v>LAB-Bench — research tasks</x:v>
      </x:c>
      <x:c r="E56" s="4" t="str">
        <x:v>Main table</x:v>
      </x:c>
      <x:c r="F56" s="4" t="str">
        <x:v>Original initial scope</x:v>
      </x:c>
      <x:c r="G56" s="4" t="str">
        <x:v>A | Text / sequence task interface described</x:v>
      </x:c>
      <x:c r="H56" s="4" t="str">
        <x:v>Keep resource access fixed. Original model evaluation was tool-free, unlike human baseline. MCQ success can partly reflect distractor elimination.</x:v>
      </x:c>
    </x:row>
    <x:row r="57" ht="56" customHeight="1">
      <x:c r="A57" s="14" t="str">
        <x:v>V01</x:v>
      </x:c>
      <x:c r="B57" s="14" t="str">
        <x:v>VQA-RAD</x:v>
      </x:c>
      <x:c r="C57" s="14" t="str">
        <x:v>Biomedical visual evidence</x:v>
      </x:c>
      <x:c r="D57" s="14" t="str">
        <x:v>Biomedical VQA: VQA-RAD / SLAKE-English / PathVQA / VQA-Med 2019</x:v>
      </x:c>
      <x:c r="E57" s="14" t="str">
        <x:v>Main table</x:v>
      </x:c>
      <x:c r="F57" s="14" t="str">
        <x:v>Catalogued; not added to initial scope</x:v>
      </x:c>
      <x:c r="G57" s="14" t="str">
        <x:v>D | Image input required by original test</x:v>
      </x:c>
      <x:c r="H57" s="14" t="str">
        <x:v>Medical-image performance does not show use of protein sequence/structure embeddings. Open-answer scorers differ between papers.</x:v>
      </x:c>
    </x:row>
    <x:row r="58" ht="56" customHeight="1">
      <x:c r="A58" s="4" t="str">
        <x:v>V02</x:v>
      </x:c>
      <x:c r="B58" s="4" t="str">
        <x:v>SLAKE — English</x:v>
      </x:c>
      <x:c r="C58" s="4" t="str">
        <x:v>Biomedical visual evidence</x:v>
      </x:c>
      <x:c r="D58" s="4" t="str">
        <x:v>Biomedical VQA: VQA-RAD / SLAKE-English / PathVQA / VQA-Med 2019</x:v>
      </x:c>
      <x:c r="E58" s="4" t="str">
        <x:v>Main table</x:v>
      </x:c>
      <x:c r="F58" s="4" t="str">
        <x:v>Catalogued; not added to initial scope</x:v>
      </x:c>
      <x:c r="G58" s="4" t="str">
        <x:v>D | Image input required by original test</x:v>
      </x:c>
      <x:c r="H58" s="4" t="str">
        <x:v>Medical-image performance does not show use of protein sequence/structure embeddings. Open-answer scorers differ between papers.</x:v>
      </x:c>
    </x:row>
    <x:row r="59" ht="56" customHeight="1">
      <x:c r="A59" s="14" t="str">
        <x:v>V03</x:v>
      </x:c>
      <x:c r="B59" s="14" t="str">
        <x:v>PathVQA</x:v>
      </x:c>
      <x:c r="C59" s="14" t="str">
        <x:v>Biomedical visual evidence</x:v>
      </x:c>
      <x:c r="D59" s="14" t="str">
        <x:v>Biomedical VQA: VQA-RAD / SLAKE-English / PathVQA / VQA-Med 2019</x:v>
      </x:c>
      <x:c r="E59" s="14" t="str">
        <x:v>Main table</x:v>
      </x:c>
      <x:c r="F59" s="14" t="str">
        <x:v>Catalogued; not added to initial scope</x:v>
      </x:c>
      <x:c r="G59" s="14" t="str">
        <x:v>D | Image input required by original test</x:v>
      </x:c>
      <x:c r="H59" s="14" t="str">
        <x:v>Medical-image performance does not show use of protein sequence/structure embeddings. Open-answer scorers differ between papers.</x:v>
      </x:c>
    </x:row>
    <x:row r="60" ht="56" customHeight="1">
      <x:c r="A60" s="4" t="str">
        <x:v>V04</x:v>
      </x:c>
      <x:c r="B60" s="4" t="str">
        <x:v>ImageCLEF-VQA 2019</x:v>
      </x:c>
      <x:c r="C60" s="4" t="str">
        <x:v>Biomedical visual evidence</x:v>
      </x:c>
      <x:c r="D60" s="4" t="str">
        <x:v>Biomedical VQA: VQA-RAD / SLAKE-English / PathVQA / VQA-Med 2019</x:v>
      </x:c>
      <x:c r="E60" s="4" t="str">
        <x:v>Main table</x:v>
      </x:c>
      <x:c r="F60" s="4" t="str">
        <x:v>Catalogued; not added to initial scope</x:v>
      </x:c>
      <x:c r="G60" s="4" t="str">
        <x:v>D | Image input required by original test</x:v>
      </x:c>
      <x:c r="H60" s="4" t="str">
        <x:v>Medical-image performance does not show use of protein sequence/structure embeddings. Open-answer scorers differ between papers.</x:v>
      </x:c>
    </x:row>
    <x:row r="61" ht="56" customHeight="1">
      <x:c r="A61" s="14" t="str">
        <x:v>V05</x:v>
      </x:c>
      <x:c r="B61" s="14" t="str">
        <x:v>PMC-VQA held-out evaluation</x:v>
      </x:c>
      <x:c r="C61" s="14" t="str">
        <x:v>Biomedical visual evidence</x:v>
      </x:c>
      <x:c r="D61" s="14" t="str">
        <x:v>PMC-VQA figure question answering</x:v>
      </x:c>
      <x:c r="E61" s="14" t="str">
        <x:v>Main table</x:v>
      </x:c>
      <x:c r="F61" s="14" t="str">
        <x:v>Catalogued; not added to initial scope</x:v>
      </x:c>
      <x:c r="G61" s="14" t="str">
        <x:v>D | Image input required by original test</x:v>
      </x:c>
      <x:c r="H61" s="14" t="str">
        <x:v>Specify initial versus cleaned test set. Caption-derived labels need not be visually answerable without filtering.</x:v>
      </x:c>
    </x:row>
    <x:row r="62" ht="56" customHeight="1">
      <x:c r="A62" s="4" t="str">
        <x:v>V06</x:v>
      </x:c>
      <x:c r="B62" s="4" t="str">
        <x:v>LLaVA-Med visual conversation</x:v>
      </x:c>
      <x:c r="C62" s="4" t="str">
        <x:v>Biomedical visual evidence</x:v>
      </x:c>
      <x:c r="D62" s="4" t="str">
        <x:v>LLaVA-Med biomedical visual conversations</x:v>
      </x:c>
      <x:c r="E62" s="4" t="str">
        <x:v>Main table</x:v>
      </x:c>
      <x:c r="F62" s="4" t="str">
        <x:v>Catalogued; not added to initial scope</x:v>
      </x:c>
      <x:c r="G62" s="4" t="str">
        <x:v>D | Image input required by original test</x:v>
      </x:c>
      <x:c r="H62" s="4" t="str">
        <x:v>Teacher reference has textual context that the image may not reveal. Judgment is not direct clinician-verified molecular truth.</x:v>
      </x:c>
    </x:row>
    <x:row r="63" ht="42" customHeight="1">
      <x:c r="A63" s="14" t="str">
        <x:v>V07</x:v>
      </x:c>
      <x:c r="B63" s="14" t="str">
        <x:v>Ryze extraction component tests</x:v>
      </x:c>
      <x:c r="C63" s="14" t="str">
        <x:v>Biomedical visual evidence</x:v>
      </x:c>
      <x:c r="D63" s="14" t="str">
        <x:v>Ryze document-extraction component tests</x:v>
      </x:c>
      <x:c r="E63" s="14" t="str">
        <x:v>Cases &amp; diagnostics</x:v>
      </x:c>
      <x:c r="F63" s="14" t="str">
        <x:v>Catalogued; not added to initial scope</x:v>
      </x:c>
      <x:c r="G63" s="14" t="str">
        <x:v>D | Image input required by original test</x:v>
      </x:c>
      <x:c r="H63" s="14" t="str">
        <x:v>These tests evaluate extraction/document understanding, not protein engineering.</x:v>
      </x:c>
    </x:row>
    <x:row r="64" ht="42" customHeight="1">
      <x:c r="A64" s="4" t="str">
        <x:v>N01</x:v>
      </x:c>
      <x:c r="B64" s="4" t="str">
        <x:v>BioReason KEGG pathway/disease test</x:v>
      </x:c>
      <x:c r="C64" s="4" t="str">
        <x:v>Other biological modalities and molecular interactions</x:v>
      </x:c>
      <x:c r="D64" s="4" t="str">
        <x:v>BioReason KEGG pathway/disease</x:v>
      </x:c>
      <x:c r="E64" s="4" t="str">
        <x:v>Main table</x:v>
      </x:c>
      <x:c r="F64" s="4" t="str">
        <x:v>Catalogued; not added to initial scope</x:v>
      </x:c>
      <x:c r="G64" s="4" t="str">
        <x:v>A | Text / sequence task interface described</x:v>
      </x:c>
      <x:c r="H64" s="4" t="str">
        <x:v>Correct final disease labels do not verify every generated mechanistic statement.</x:v>
      </x:c>
    </x:row>
    <x:row r="65" ht="42" customHeight="1">
      <x:c r="A65" s="14" t="str">
        <x:v>N02</x:v>
      </x:c>
      <x:c r="B65" s="14" t="str">
        <x:v>BioReason VEP-Coding</x:v>
      </x:c>
      <x:c r="C65" s="14" t="str">
        <x:v>Other biological modalities and molecular interactions</x:v>
      </x:c>
      <x:c r="D65" s="14" t="str">
        <x:v>BioReason VEP coding and non-SNV</x:v>
      </x:c>
      <x:c r="E65" s="14" t="str">
        <x:v>Main table</x:v>
      </x:c>
      <x:c r="F65" s="14" t="str">
        <x:v>Catalogued; not added to initial scope</x:v>
      </x:c>
      <x:c r="G65" s="14" t="str">
        <x:v>A | Text / sequence task interface described</x:v>
      </x:c>
      <x:c r="H65" s="14" t="str">
        <x:v>Genomics task, not Affibody binding; annotation confidence and splitting matter.</x:v>
      </x:c>
    </x:row>
    <x:row r="66" ht="42" customHeight="1">
      <x:c r="A66" s="4" t="str">
        <x:v>N03</x:v>
      </x:c>
      <x:c r="B66" s="4" t="str">
        <x:v>BioReason VEP-Non-SNV</x:v>
      </x:c>
      <x:c r="C66" s="4" t="str">
        <x:v>Other biological modalities and molecular interactions</x:v>
      </x:c>
      <x:c r="D66" s="4" t="str">
        <x:v>BioReason VEP coding and non-SNV</x:v>
      </x:c>
      <x:c r="E66" s="4" t="str">
        <x:v>Main table</x:v>
      </x:c>
      <x:c r="F66" s="4" t="str">
        <x:v>Catalogued; not added to initial scope</x:v>
      </x:c>
      <x:c r="G66" s="4" t="str">
        <x:v>A | Text / sequence task interface described</x:v>
      </x:c>
      <x:c r="H66" s="4" t="str">
        <x:v>Non-SNV classification should not be merged with single-amino-acid design accuracy.</x:v>
      </x:c>
    </x:row>
    <x:row r="67" ht="42" customHeight="1">
      <x:c r="A67" s="14" t="str">
        <x:v>N04</x:v>
      </x:c>
      <x:c r="B67" s="14" t="str">
        <x:v>Bio-posttrain KEGG network holdout</x:v>
      </x:c>
      <x:c r="C67" s="14" t="str">
        <x:v>Other biological modalities and molecular interactions</x:v>
      </x:c>
      <x:c r="D67" s="14" t="str">
        <x:v>Bio-posttrain KEGG unseen-network holdout</x:v>
      </x:c>
      <x:c r="E67" s="14" t="str">
        <x:v>Main table</x:v>
      </x:c>
      <x:c r="F67" s="14" t="str">
        <x:v>Catalogued; not added to initial scope</x:v>
      </x:c>
      <x:c r="G67" s="14" t="str">
        <x:v>B | New text-baseline adapter needed</x:v>
      </x:c>
      <x:c r="H67" s="14" t="str">
        <x:v>Pin the adapted split and preprocessing.</x:v>
      </x:c>
    </x:row>
    <x:row r="68" ht="42" customHeight="1">
      <x:c r="A68" s="4" t="str">
        <x:v>N05</x:v>
      </x:c>
      <x:c r="B68" s="4" t="str">
        <x:v>Bio-posttrain MEDEA target selection</x:v>
      </x:c>
      <x:c r="C68" s="4" t="str">
        <x:v>Other biological modalities and molecular interactions</x:v>
      </x:c>
      <x:c r="D68" s="4" t="str">
        <x:v>Bio-posttrain MEDEA expression-conditioned gene selection</x:v>
      </x:c>
      <x:c r="E68" s="4" t="str">
        <x:v>Main table</x:v>
      </x:c>
      <x:c r="F68" s="4" t="str">
        <x:v>Catalogued; not added to initial scope</x:v>
      </x:c>
      <x:c r="G68" s="4" t="str">
        <x:v>F | Special protocol or missing exact benchmark</x:v>
      </x:c>
      <x:c r="H68" s="4" t="str">
        <x:v>Fixed-input target nomination is not the original full agent workflow or clinical validation.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84b4c36b7d147e7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38" hidden="0" customWidth="1"/>
    <x:col min="3" max="3" width="38" hidden="0" customWidth="1"/>
    <x:col min="4" max="4" width="35" hidden="0" customWidth="1"/>
    <x:col min="5" max="5" width="44" hidden="0" customWidth="1"/>
    <x:col min="6" max="6" width="45" hidden="0" customWidth="1"/>
    <x:col min="7" max="7" width="43" hidden="0" customWidth="1"/>
  </x:cols>
  <x:sheetData>
    <x:row r="1" ht="38" customHeight="1">
      <x:c r="A1" s="10" t="str">
        <x:v>GENERAL-LANGUAGE CONTROLS</x:v>
      </x:c>
      <x:c r="B1" s="10"/>
      <x:c r="C1" s="10"/>
      <x:c r="D1" s="10"/>
      <x:c r="E1" s="10"/>
      <x:c r="F1" s="10"/>
      <x:c r="G1" s="10"/>
    </x:row>
    <x:row r="2" ht="36" customHeight="1">
      <x:c r="A2" s="16" t="str">
        <x:v>Original 14 control groups, separate from biological performance. This is not an additional biological benchmark count.</x:v>
      </x:c>
      <x:c r="B2" s="16"/>
      <x:c r="C2" s="16"/>
      <x:c r="D2" s="16"/>
      <x:c r="E2" s="16"/>
      <x:c r="F2" s="16"/>
      <x:c r="G2" s="16"/>
    </x:row>
    <x:row r="3" ht="10" customHeight="1">
      <x:c r="A3" s="4"/>
      <x:c r="B3" s="4"/>
      <x:c r="C3" s="4"/>
      <x:c r="D3" s="4"/>
      <x:c r="E3" s="4"/>
      <x:c r="F3" s="4"/>
      <x:c r="G3" s="4"/>
    </x:row>
    <x:row r="4" ht="36" customHeight="1">
      <x:c r="A4" s="28" t="str">
        <x:v>Capability / task</x:v>
      </x:c>
      <x:c r="B4" s="28" t="str">
        <x:v>What is evaluated</x:v>
      </x:c>
      <x:c r="C4" s="28" t="str">
        <x:v>Input / output</x:v>
      </x:c>
      <x:c r="D4" s="28" t="str">
        <x:v>Metric</x:v>
      </x:c>
      <x:c r="E4" s="28" t="str">
        <x:v>Original protocol</x:v>
      </x:c>
      <x:c r="F4" s="28" t="str">
        <x:v>Limit</x:v>
      </x:c>
      <x:c r="G4" s="28" t="str">
        <x:v>Source / code</x:v>
      </x:c>
    </x:row>
    <x:row r="5" ht="42" customHeight="1">
      <x:c r="A5" s="14" t="str">
        <x:v>Base data-mixture loss</x:v>
      </x:c>
      <x:c r="B5" s="14" t="str">
        <x:v>Does the adapted model retain or improve this general capability?</x:v>
      </x:c>
      <x:c r="C5" s="14" t="str">
        <x:v>Reference continuations from chosen tasks → Token likelihood / bits per byte</x:v>
      </x:c>
      <x:c r="D5" s="14" t="str">
        <x:v>Token likelihood / bits per byte</x:v>
      </x:c>
      <x:c r="E5" s="14" t="str">
        <x:v>OLMo's small source-ablation protocol; compare same budget/checkpoints.</x:v>
      </x:c>
      <x:c r="F5" s="14" t="str">
        <x:v>Loss is sensitive for small runs but is not itself scientific task accuracy.</x:v>
      </x:c>
      <x:c r="G5" s="14" t="str">
        <x:v>https://arxiv.org/html/2512.13961v1
https://github.com/allenai/olmes</x:v>
      </x:c>
    </x:row>
    <x:row r="6" ht="42" customHeight="1">
      <x:c r="A6" s="4" t="str">
        <x:v>STEM/non-STEM knowledge MCQ</x:v>
      </x:c>
      <x:c r="B6" s="4" t="str">
        <x:v>Does the adapted model retain or improve this general capability?</x:v>
      </x:c>
      <x:c r="C6" s="4" t="str">
        <x:v>MMLU, GPQA, AGIEval; MMLU-Pro held-out base evaluation → Answer accuracy</x:v>
      </x:c>
      <x:c r="D6" s="4" t="str">
        <x:v>Answer accuracy</x:v>
      </x:c>
      <x:c r="E6" s="4" t="str">
        <x:v>Keep subject groups, shots and benchmark revisions fixed.</x:v>
      </x:c>
      <x:c r="F6" s="4" t="str">
        <x:v>Includes general knowledge/test-taking, not experimentally grounded protein design.</x:v>
      </x:c>
      <x:c r="G6" s="4" t="str">
        <x:v>https://arxiv.org/html/2512.13961v1
https://github.com/allenai/olmes</x:v>
      </x:c>
    </x:row>
    <x:row r="7" ht="42" customHeight="1">
      <x:c r="A7" s="14" t="str">
        <x:v>Generative factual QA</x:v>
      </x:c>
      <x:c r="B7" s="14" t="str">
        <x:v>Does the adapted model retain or improve this general capability?</x:v>
      </x:c>
      <x:c r="C7" s="14" t="str">
        <x:v>PopQA, SimpleQA → Exact/normalized answer or official correctness grading</x:v>
      </x:c>
      <x:c r="D7" s="14" t="str">
        <x:v>Exact/normalized answer or official correctness grading</x:v>
      </x:c>
      <x:c r="E7" s="14" t="str">
        <x:v>Record whether retrieval/browser access is available.</x:v>
      </x:c>
      <x:c r="F7" s="14" t="str">
        <x:v>Recall and evidence retrieval must not be conflated.</x:v>
      </x:c>
      <x:c r="G7" s="14" t="str">
        <x:v>https://arxiv.org/html/2512.13961v1
https://github.com/allenai/olmes</x:v>
      </x:c>
    </x:row>
    <x:row r="8" ht="42" customHeight="1">
      <x:c r="A8" s="4" t="str">
        <x:v>Mathematical problem solving</x:v>
      </x:c>
      <x:c r="B8" s="4" t="str">
        <x:v>Does the adapted model retain or improve this general capability?</x:v>
      </x:c>
      <x:c r="C8" s="4" t="str">
        <x:v>MATH-500, MinervaMATH, AIME 2024/2025, OMEGA → Final-answer accuracy</x:v>
      </x:c>
      <x:c r="D8" s="4" t="str">
        <x:v>Final-answer accuracy</x:v>
      </x:c>
      <x:c r="E8" s="4" t="str">
        <x:v>Fix sampling count and extraction rules; AIME aggregates repeated samples.</x:v>
      </x:c>
      <x:c r="F8" s="4" t="str">
        <x:v>Rewarding a correct final answer does not verify every reasoning step.</x:v>
      </x:c>
      <x:c r="G8" s="4" t="str">
        <x:v>https://arxiv.org/html/2512.13961v1
https://github.com/allenai/olmes</x:v>
      </x:c>
    </x:row>
    <x:row r="9" ht="56" customHeight="1">
      <x:c r="A9" s="14" t="str">
        <x:v>Coding</x:v>
      </x:c>
      <x:c r="B9" s="14" t="str">
        <x:v>Does the adapted model retain or improve this general capability?</x:v>
      </x:c>
      <x:c r="C9" s="14" t="str">
        <x:v>HumanEval+, MBPP+, LiveCodeBench v3; LBPP as held-out base task → Pass@1 / official code test pass rate</x:v>
      </x:c>
      <x:c r="D9" s="14" t="str">
        <x:v>Pass@1 / official code test pass rate</x:v>
      </x:c>
      <x:c r="E9" s="14" t="str">
        <x:v>Use released test harness; distinguish samples from pass@k.</x:v>
      </x:c>
      <x:c r="F9" s="14" t="str">
        <x:v>Valid syntax is not passing functional tests.</x:v>
      </x:c>
      <x:c r="G9" s="14" t="str">
        <x:v>https://arxiv.org/html/2512.13961v1
https://github.com/allenai/olmes</x:v>
      </x:c>
    </x:row>
    <x:row r="10" ht="42" customHeight="1">
      <x:c r="A10" s="4" t="str">
        <x:v>Code fill-in-the-middle</x:v>
      </x:c>
      <x:c r="B10" s="4" t="str">
        <x:v>Does the adapted model retain or improve this general capability?</x:v>
      </x:c>
      <x:c r="C10" s="4" t="str">
        <x:v>Code FIM group in base evaluation → Completion loss or task scorer</x:v>
      </x:c>
      <x:c r="D10" s="4" t="str">
        <x:v>Completion loss or task scorer</x:v>
      </x:c>
      <x:c r="E10" s="4" t="str">
        <x:v>Keep the paper's task set and FIM prompting.</x:v>
      </x:c>
      <x:c r="F10" s="4" t="str">
        <x:v>Reference completion likelihood is not whole-repository repair success.</x:v>
      </x:c>
      <x:c r="G10" s="4" t="str">
        <x:v>https://arxiv.org/html/2512.13961v1
https://github.com/allenai/olmes</x:v>
      </x:c>
    </x:row>
    <x:row r="11" ht="42" customHeight="1">
      <x:c r="A11" s="14" t="str">
        <x:v>General reasoning</x:v>
      </x:c>
      <x:c r="B11" s="14" t="str">
        <x:v>Does the adapted model retain or improve this general capability?</x:v>
      </x:c>
      <x:c r="C11" s="14" t="str">
        <x:v>BIG-Bench Hard / ZebraLogic → Exact or task-normalized accuracy</x:v>
      </x:c>
      <x:c r="D11" s="14" t="str">
        <x:v>Exact or task-normalized accuracy</x:v>
      </x:c>
      <x:c r="E11" s="14" t="str">
        <x:v>Keep shots, prompt format and task-level averaging fixed.</x:v>
      </x:c>
      <x:c r="F11" s="14" t="str">
        <x:v>Measures these reasoning tasks, not universal reasoning.</x:v>
      </x:c>
      <x:c r="G11" s="14" t="str">
        <x:v>https://arxiv.org/html/2512.13961v1
https://github.com/allenai/olmes</x:v>
      </x:c>
    </x:row>
    <x:row r="12" ht="42" customHeight="1">
      <x:c r="A12" s="4" t="str">
        <x:v>Instruction following</x:v>
      </x:c>
      <x:c r="B12" s="4" t="str">
        <x:v>Does the adapted model retain or improve this general capability?</x:v>
      </x:c>
      <x:c r="C12" s="4" t="str">
        <x:v>IFEval; separately IFBench where used → Constraint compliance</x:v>
      </x:c>
      <x:c r="D12" s="4" t="str">
        <x:v>Constraint compliance</x:v>
      </x:c>
      <x:c r="E12" s="4" t="str">
        <x:v>Strict/loose and prompt-/instruction-level scores are distinct.</x:v>
      </x:c>
      <x:c r="F12" s="4" t="str">
        <x:v>Compliance is not truthfulness or scientific usefulness.</x:v>
      </x:c>
      <x:c r="G12" s="4" t="str">
        <x:v>https://arxiv.org/html/2512.13961v1
https://github.com/allenai/olmes</x:v>
      </x:c>
    </x:row>
    <x:row r="13" ht="42" customHeight="1">
      <x:c r="A13" s="14" t="str">
        <x:v>Open-ended assistant quality</x:v>
      </x:c>
      <x:c r="B13" s="14" t="str">
        <x:v>Does the adapted model retain or improve this general capability?</x:v>
      </x:c>
      <x:c r="C13" s="14" t="str">
        <x:v>AlpacaEval 2 → Judge preference / length-controlled win rate</x:v>
      </x:c>
      <x:c r="D13" s="14" t="str">
        <x:v>Judge preference / length-controlled win rate</x:v>
      </x:c>
      <x:c r="E13" s="14" t="str">
        <x:v>Fix reference model and judge version.</x:v>
      </x:c>
      <x:c r="F13" s="14" t="str">
        <x:v>Judge bias and response length can affect the score.</x:v>
      </x:c>
      <x:c r="G13" s="14" t="str">
        <x:v>https://arxiv.org/html/2512.13961v1
https://github.com/allenai/olmes</x:v>
      </x:c>
    </x:row>
    <x:row r="14" ht="42" customHeight="1">
      <x:c r="A14" s="4" t="str">
        <x:v>Function/tool calls</x:v>
      </x:c>
      <x:c r="B14" s="4" t="str">
        <x:v>Does the adapted model retain or improve this general capability?</x:v>
      </x:c>
      <x:c r="C14" s="4" t="str">
        <x:v>BFCL → Function-call correctness under its suite</x:v>
      </x:c>
      <x:c r="D14" s="4" t="str">
        <x:v>Function-call correctness under its suite</x:v>
      </x:c>
      <x:c r="E14" s="4" t="str">
        <x:v>Record version, function schemas and runtime availability.</x:v>
      </x:c>
      <x:c r="F14" s="4" t="str">
        <x:v>Do not use this as a protein-grounding metric.</x:v>
      </x:c>
      <x:c r="G14" s="4" t="str">
        <x:v>https://arxiv.org/html/2512.13961v1
https://github.com/allenai/olmes</x:v>
      </x:c>
    </x:row>
    <x:row r="15" ht="42" customHeight="1">
      <x:c r="A15" s="14" t="str">
        <x:v>Long context — development</x:v>
      </x:c>
      <x:c r="B15" s="14" t="str">
        <x:v>Does the adapted model retain or improve this general capability?</x:v>
      </x:c>
      <x:c r="C15" s="14" t="str">
        <x:v>RULER → Synthetic long-context task accuracy</x:v>
      </x:c>
      <x:c r="D15" s="14" t="str">
        <x:v>Synthetic long-context task accuracy</x:v>
      </x:c>
      <x:c r="E15" s="14" t="str">
        <x:v>OLMo development suite; context length matters.</x:v>
      </x:c>
      <x:c r="F15" s="14" t="str">
        <x:v>Successful retrieval in synthetic contexts is not paper-level biological reasoning.</x:v>
      </x:c>
      <x:c r="G15" s="14" t="str">
        <x:v>https://arxiv.org/html/2512.13961v1
https://github.com/allenai/olmes</x:v>
      </x:c>
    </x:row>
    <x:row r="16" ht="42" customHeight="1">
      <x:c r="A16" s="4" t="str">
        <x:v>Long context — broader holdout</x:v>
      </x:c>
      <x:c r="B16" s="4" t="str">
        <x:v>Does the adapted model retain or improve this general capability?</x:v>
      </x:c>
      <x:c r="C16" s="4" t="str">
        <x:v>HELMET → Task-specific long-context metrics</x:v>
      </x:c>
      <x:c r="D16" s="4" t="str">
        <x:v>Task-specific long-context metrics</x:v>
      </x:c>
      <x:c r="E16" s="4" t="str">
        <x:v>Pin subset and length; follow reported overlap caveats.</x:v>
      </x:c>
      <x:c r="F16" s="4" t="str">
        <x:v>Not all long-context tasks are disjoint from development exposure.</x:v>
      </x:c>
      <x:c r="G16" s="4" t="str">
        <x:v>https://arxiv.org/html/2512.13961v1
https://github.com/allenai/olmes</x:v>
      </x:c>
    </x:row>
    <x:row r="17" ht="56" customHeight="1">
      <x:c r="A17" s="14" t="str">
        <x:v>Literature QA in agentic evaluation</x:v>
      </x:c>
      <x:c r="B17" s="14" t="str">
        <x:v>Does the adapted model retain or improve this general capability?</x:v>
      </x:c>
      <x:c r="C17" s="14" t="str">
        <x:v>LitQA2 with the stated agent/resources → Answer accuracy / official task scoring</x:v>
      </x:c>
      <x:c r="D17" s="14" t="str">
        <x:v>Answer accuracy / official task scoring</x:v>
      </x:c>
      <x:c r="E17" s="14" t="str">
        <x:v>Tool-enabled and tool-free protocols must stay separate.</x:v>
      </x:c>
      <x:c r="F17" s="14" t="str">
        <x:v>Also catalogued under LAB-Bench: same name does not imply identical resource access.</x:v>
      </x:c>
      <x:c r="G17" s="14" t="str">
        <x:v>https://arxiv.org/html/2512.13961v1
https://github.com/allenai/olmes</x:v>
      </x:c>
    </x:row>
    <x:row r="18" ht="56" customHeight="1">
      <x:c r="A18" s="4" t="str">
        <x:v>DCLM data-quality controls</x:v>
      </x:c>
      <x:c r="B18" s="4" t="str">
        <x:v>Does the adapted model retain or improve this general capability?</x:v>
      </x:c>
      <x:c r="C18" s="4" t="str">
        <x:v>Core and Extended benchmark suites → Suite-normalized aggregates plus individual task scores</x:v>
      </x:c>
      <x:c r="D18" s="4" t="str">
        <x:v>Suite-normalized aggregates plus individual task scores</x:v>
      </x:c>
      <x:c r="E18" s="4" t="str">
        <x:v>22-task Core and broader Extended suite; use Appendix G/configuration, not an invented aggregate.</x:v>
      </x:c>
      <x:c r="F18" s="4" t="str">
        <x:v>A data source may help one backbone/mixture and hurt another.</x:v>
      </x:c>
      <x:c r="G18" s="4" t="str">
        <x:v>https://arxiv.org/html/2406.11794v3
https://github.com/mlfoundations/dclm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e32dd2aa37584d15"/>
  </x:tableParts>
</x:worksheet>
</file>

<file path=xl/worksheets/sheet1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0" hidden="0" customWidth="1"/>
    <x:col min="3" max="3" width="40" hidden="0" customWidth="1"/>
    <x:col min="4" max="4" width="35" hidden="0" customWidth="1"/>
    <x:col min="5" max="5" width="34" hidden="0" customWidth="1"/>
    <x:col min="6" max="6" width="44" hidden="0" customWidth="1"/>
    <x:col min="7" max="7" width="50" hidden="0" customWidth="1"/>
    <x:col min="8" max="8" width="48" hidden="0" customWidth="1"/>
    <x:col min="9" max="9" width="43" hidden="0" customWidth="1"/>
    <x:col min="10" max="10" width="43" hidden="0" customWidth="1"/>
  </x:cols>
  <x:sheetData>
    <x:row r="1" ht="38" customHeight="1">
      <x:c r="A1" s="10" t="str">
        <x:v>ORIGINAL 64 SETTINGS | TRACEABILITY</x:v>
      </x:c>
      <x:c r="B1" s="10"/>
      <x:c r="C1" s="10"/>
      <x:c r="D1" s="10"/>
      <x:c r="E1" s="10"/>
      <x:c r="F1" s="10"/>
      <x:c r="G1" s="10"/>
      <x:c r="H1" s="10"/>
      <x:c r="I1" s="10"/>
      <x:c r="J1" s="10"/>
    </x:row>
    <x:row r="2" ht="36" customHeight="1">
      <x:c r="A2" s="16" t="str">
        <x:v>This backup preserves the prior task contracts and scores. Use the main view for presentation; source-check before implementing.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10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36" customHeight="1">
      <x:c r="A4" s="28" t="str">
        <x:v>Original ID</x:v>
      </x:c>
      <x:c r="B4" s="28" t="str">
        <x:v>Task</x:v>
      </x:c>
      <x:c r="C4" s="28" t="str">
        <x:v>Input</x:v>
      </x:c>
      <x:c r="D4" s="28" t="str">
        <x:v>Output</x:v>
      </x:c>
      <x:c r="E4" s="28" t="str">
        <x:v>Metric</x:v>
      </x:c>
      <x:c r="F4" s="28" t="str">
        <x:v>Split / configuration</x:v>
      </x:c>
      <x:c r="G4" s="28" t="str">
        <x:v>Reported result carried forward</x:v>
      </x:c>
      <x:c r="H4" s="28" t="str">
        <x:v>Original qualification</x:v>
      </x:c>
      <x:c r="I4" s="28" t="str">
        <x:v>Primary source</x:v>
      </x:c>
      <x:c r="J4" s="28" t="str">
        <x:v>Official entry point</x:v>
      </x:c>
    </x:row>
    <x:row r="5" ht="56" customHeight="1">
      <x:c r="A5" s="14" t="str">
        <x:v>P01</x:v>
      </x:c>
      <x:c r="B5" s="14" t="str">
        <x:v>Solubility — PEER</x:v>
      </x:c>
      <x:c r="C5" s="14" t="str">
        <x:v>Protein sequence</x:v>
      </x:c>
      <x:c r="D5" s="14" t="str">
        <x:v>Soluble / insoluble label</x:v>
      </x:c>
      <x:c r="E5" s="14" t="str">
        <x:v>Accuracy</x:v>
      </x:c>
      <x:c r="F5" s="14" t="str">
        <x:v>Preserve the official PEER solubility split; exact test size not re-established.</x:v>
      </x:c>
      <x:c r="G5" s="14" t="str">
        <x:v>BioT5+ multitask: 74.37 ± 0.19% accuracy; BioT5 single-task: 74.65 ± 0.49%. Task-trained systems, not zero-shot API results.</x:v>
      </x:c>
      <x:c r="H5" s="14" t="str">
        <x:v>Not binding affinity, thermostability, or a guarantee of solubility under every laboratory condition.</x:v>
      </x:c>
      <x:c r="I5" s="14" t="str">
        <x:v>https://arxiv.org/html/2402.17810v2
https://arxiv.org/html/2502.07527v3</x:v>
      </x:c>
      <x:c r="J5" s="14" t="str">
        <x:v>https://github.com/DeepGraphLearning/PEER_Benchmark</x:v>
      </x:c>
    </x:row>
    <x:row r="6" ht="56" customHeight="1">
      <x:c r="A6" s="4" t="str">
        <x:v>P02</x:v>
      </x:c>
      <x:c r="B6" s="4" t="str">
        <x:v>Binary localization — DeepLoc/PEER</x:v>
      </x:c>
      <x:c r="C6" s="4" t="str">
        <x:v>Protein sequence</x:v>
      </x:c>
      <x:c r="D6" s="4" t="str">
        <x:v>Binary class</x:v>
      </x:c>
      <x:c r="E6" s="4" t="str">
        <x:v>Accuracy</x:v>
      </x:c>
      <x:c r="F6" s="4" t="str">
        <x:v>Binary task; do not substitute the separate ten-compartment label set.</x:v>
      </x:c>
      <x:c r="G6" s="4" t="str">
        <x:v>BioT5+ multitask: 90.41 ± 0.07% accuracy; BioT5 single-task: 91.69 ± 0.05%.</x:v>
      </x:c>
      <x:c r="H6" s="4" t="str">
        <x:v>'Soluble' in the localization labels is not the same endpoint as expression solubility in P01.</x:v>
      </x:c>
      <x:c r="I6" s="4" t="str">
        <x:v>https://arxiv.org/html/2402.17810v2
https://proceedings.mlr.press/v202/xu23t/xu23t.pdf</x:v>
      </x:c>
      <x:c r="J6" s="4" t="str">
        <x:v>https://github.com/DeepGraphLearning/PEER_Benchmark</x:v>
      </x:c>
    </x:row>
    <x:row r="7" ht="56" customHeight="1">
      <x:c r="A7" s="14" t="str">
        <x:v>P03</x:v>
      </x:c>
      <x:c r="B7" s="14" t="str">
        <x:v>Subcellular localization — DeepLoc</x:v>
      </x:c>
      <x:c r="C7" s="14" t="str">
        <x:v>Protein sequence; label descriptions in zero-shot mode</x:v>
      </x:c>
      <x:c r="D7" s="14" t="str">
        <x:v>One of ten compartment classes</x:v>
      </x:c>
      <x:c r="E7" s="14" t="str">
        <x:v>Accuracy</x:v>
      </x:c>
      <x:c r="F7" s="14" t="str">
        <x:v>Official DeepLoc split. ProtST also tests zero-/few-shot transfer; record shots and whether a supervised head is fitted.</x:v>
      </x:c>
      <x:c r="G7" s="14" t="str">
        <x:v>ProtST-ESM-2: 83.39% versus ESM-2: 80.84% accuracy, using frozen encoders plus trained task readouts.</x:v>
      </x:c>
      <x:c r="H7" s="14" t="str">
        <x:v>Location is a different question from molecular activity or binding specificity.</x:v>
      </x:c>
      <x:c r="I7" s="14" t="str">
        <x:v>https://proceedings.mlr.press/v202/xu23t/xu23t.pdf</x:v>
      </x:c>
      <x:c r="J7" s="14" t="str">
        <x:v>https://github.com/DeepGraphLearning/ProtST</x:v>
      </x:c>
    </x:row>
    <x:row r="8" ht="56" customHeight="1">
      <x:c r="A8" s="4" t="str">
        <x:v>P04</x:v>
      </x:c>
      <x:c r="B8" s="4" t="str">
        <x:v>Beta-lactamase activity — PEER</x:v>
      </x:c>
      <x:c r="C8" s="4" t="str">
        <x:v>Protein/variant sequence</x:v>
      </x:c>
      <x:c r="D8" s="4" t="str">
        <x:v>A continuous assay score</x:v>
      </x:c>
      <x:c r="E8" s="4" t="str">
        <x:v>Spearman correlation</x:v>
      </x:c>
      <x:c r="F8" s="4" t="str">
        <x:v>Official PEER beta-lactamase split.</x:v>
      </x:c>
      <x:c r="G8" s="4" t="str">
        <x:v>ProtST-ESM-2: Spearman 0.879; ESM-2: 0.867 on beta-lactamase activity. Both use full-model supervised fine-tuning.</x:v>
      </x:c>
      <x:c r="H8" s="4" t="str">
        <x:v>The numerical endpoint is assay-specific; these tasks do not establish a general ability to explain mechanisms.</x:v>
      </x:c>
      <x:c r="I8" s="4" t="str">
        <x:v>https://proceedings.mlr.press/v202/xu23t/xu23t.pdf</x:v>
      </x:c>
      <x:c r="J8" s="4" t="str">
        <x:v>https://github.com/DeepGraphLearning/PEER_Benchmark</x:v>
      </x:c>
    </x:row>
    <x:row r="9" ht="56" customHeight="1">
      <x:c r="A9" s="14" t="str">
        <x:v>P05</x:v>
      </x:c>
      <x:c r="B9" s="14" t="str">
        <x:v>AAV variant fitness — FLIP</x:v>
      </x:c>
      <x:c r="C9" s="14" t="str">
        <x:v>Protein/variant sequence</x:v>
      </x:c>
      <x:c r="D9" s="14" t="str">
        <x:v>A continuous assay score</x:v>
      </x:c>
      <x:c r="E9" s="14" t="str">
        <x:v>Spearman correlation</x:v>
      </x:c>
      <x:c r="F9" s="14" t="str">
        <x:v>FLIP AAV two_vs_many split.</x:v>
      </x:c>
      <x:c r="G9" s="14" t="str">
        <x:v>ProtST-ESM-2: Spearman 0.825; ESM-2: 0.817 on AAV fitness. Both use full-model supervised fine-tuning.</x:v>
      </x:c>
      <x:c r="H9" s="14" t="str">
        <x:v>The numerical endpoint is assay-specific; these tasks do not establish a general ability to explain mechanisms.</x:v>
      </x:c>
      <x:c r="I9" s="14" t="str">
        <x:v>https://proceedings.mlr.press/v202/xu23t/xu23t.pdf</x:v>
      </x:c>
      <x:c r="J9" s="14" t="str">
        <x:v>https://github.com/J-SNACKKB/FLIP</x:v>
      </x:c>
    </x:row>
    <x:row r="10" ht="56" customHeight="1">
      <x:c r="A10" s="4" t="str">
        <x:v>P06</x:v>
      </x:c>
      <x:c r="B10" s="4" t="str">
        <x:v>Thermostability — FLIP/Meltome</x:v>
      </x:c>
      <x:c r="C10" s="4" t="str">
        <x:v>Protein/variant sequence</x:v>
      </x:c>
      <x:c r="D10" s="4" t="str">
        <x:v>A continuous assay score</x:v>
      </x:c>
      <x:c r="E10" s="4" t="str">
        <x:v>Spearman correlation</x:v>
      </x:c>
      <x:c r="F10" s="4" t="str">
        <x:v>FLIP meltome human_cell configuration.</x:v>
      </x:c>
      <x:c r="G10" s="4" t="str">
        <x:v>ProtST-ESM-2: Spearman 0.682; ESM-2: 0.672 on thermostability. Both use full-model supervised fine-tuning.</x:v>
      </x:c>
      <x:c r="H10" s="4" t="str">
        <x:v>The numerical endpoint is assay-specific; these tasks do not establish a general ability to explain mechanisms.</x:v>
      </x:c>
      <x:c r="I10" s="4" t="str">
        <x:v>https://proceedings.mlr.press/v202/xu23t/xu23t.pdf</x:v>
      </x:c>
      <x:c r="J10" s="4" t="str">
        <x:v>https://github.com/J-SNACKKB/FLIP</x:v>
      </x:c>
    </x:row>
    <x:row r="11" ht="56" customHeight="1">
      <x:c r="A11" s="14" t="str">
        <x:v>P07</x:v>
      </x:c>
      <x:c r="B11" s="14" t="str">
        <x:v>GFP fluorescence — TAPE</x:v>
      </x:c>
      <x:c r="C11" s="14" t="str">
        <x:v>Protein/variant sequence</x:v>
      </x:c>
      <x:c r="D11" s="14" t="str">
        <x:v>A continuous assay score</x:v>
      </x:c>
      <x:c r="E11" s="14" t="str">
        <x:v>Spearman correlation</x:v>
      </x:c>
      <x:c r="F11" s="14" t="str">
        <x:v>TAPE fluorescence split; sequence-distance extrapolation is part of the benchmark.</x:v>
      </x:c>
      <x:c r="G11" s="14" t="str">
        <x:v>ProtST-ESM-2: Spearman 0.682; ESM-2: 0.677 on GFP fluorescence. Both use full-model supervised fine-tuning.</x:v>
      </x:c>
      <x:c r="H11" s="14" t="str">
        <x:v>The numerical endpoint is assay-specific; these tasks do not establish a general ability to explain mechanisms.</x:v>
      </x:c>
      <x:c r="I11" s="14" t="str">
        <x:v>https://proceedings.mlr.press/v202/xu23t/xu23t.pdf</x:v>
      </x:c>
      <x:c r="J11" s="14" t="str">
        <x:v>https://github.com/songlab-cal/tape</x:v>
      </x:c>
    </x:row>
    <x:row r="12" ht="56" customHeight="1">
      <x:c r="A12" s="4" t="str">
        <x:v>P08</x:v>
      </x:c>
      <x:c r="B12" s="4" t="str">
        <x:v>Protein stability regression — TAPE</x:v>
      </x:c>
      <x:c r="C12" s="4" t="str">
        <x:v>Protein/variant sequence</x:v>
      </x:c>
      <x:c r="D12" s="4" t="str">
        <x:v>A continuous assay score</x:v>
      </x:c>
      <x:c r="E12" s="4" t="str">
        <x:v>Spearman correlation</x:v>
      </x:c>
      <x:c r="F12" s="4" t="str">
        <x:v>Official TAPE stability split; retain the numerical target.</x:v>
      </x:c>
      <x:c r="G12" s="4" t="str">
        <x:v>ProtST-ESM-2: Spearman 0.738; ESM-2: 0.718 on stability. Both use full-model supervised fine-tuning.</x:v>
      </x:c>
      <x:c r="H12" s="4" t="str">
        <x:v>The numerical endpoint is assay-specific; these tasks do not establish a general ability to explain mechanisms.</x:v>
      </x:c>
      <x:c r="I12" s="4" t="str">
        <x:v>https://proceedings.mlr.press/v202/xu23t/xu23t.pdf</x:v>
      </x:c>
      <x:c r="J12" s="4" t="str">
        <x:v>https://github.com/songlab-cal/tape</x:v>
      </x:c>
    </x:row>
    <x:row r="13" ht="56" customHeight="1">
      <x:c r="A13" s="14" t="str">
        <x:v>P09</x:v>
      </x:c>
      <x:c r="B13" s="14" t="str">
        <x:v>Stability classification — NatureLM/PEER</x:v>
      </x:c>
      <x:c r="C13" s="14" t="str">
        <x:v>Protein sequence</x:v>
      </x:c>
      <x:c r="D13" s="14" t="str">
        <x:v>Yes / no</x:v>
      </x:c>
      <x:c r="E13" s="14" t="str">
        <x:v>Accuracy</x:v>
      </x:c>
      <x:c r="F13" s="14" t="str">
        <x:v>NatureLM §7.2 uses classification. Exact label-conversion rule not resolved in this review.</x:v>
      </x:c>
      <x:c r="G13" s="14" t="str">
        <x:v>NatureLM-8x7B: 72.3% accuracy; SFM-Protein-650M: 58.3%, in NatureLM's stability-classification setup.</x:v>
      </x:c>
      <x:c r="H13" s="14" t="str">
        <x:v>Keep separate from TAPE's continuous stability regression. Do not silently change the paper's endpoint.</x:v>
      </x:c>
      <x:c r="I13" s="14" t="str">
        <x:v>https://arxiv.org/html/2502.07527v3</x:v>
      </x:c>
      <x:c r="J13" s="14" t="str">
        <x:v>https://github.com/microsoft/SFM</x:v>
      </x:c>
    </x:row>
    <x:row r="14" ht="42" customHeight="1">
      <x:c r="A14" s="4" t="str">
        <x:v>P10</x:v>
      </x:c>
      <x:c r="B14" s="4" t="str">
        <x:v>Human protein–protein interaction — PEER</x:v>
      </x:c>
      <x:c r="C14" s="4" t="str">
        <x:v>Two full protein sequences</x:v>
      </x:c>
      <x:c r="D14" s="4" t="str">
        <x:v>Interaction / no interaction</x:v>
      </x:c>
      <x:c r="E14" s="4" t="str">
        <x:v>Accuracy</x:v>
      </x:c>
      <x:c r="F14" s="4" t="str">
        <x:v>Official human PEER PPI split; preserve negative construction.</x:v>
      </x:c>
      <x:c r="G14" s="4" t="str">
        <x:v>BioT5+ multitask: 85.09 ± 0.40% accuracy; BioT5 single-task: 86.22 ± 0.53%.</x:v>
      </x:c>
      <x:c r="H14" s="4" t="str">
        <x:v>Not TCR–pMHC specificity and not a measured dissociation constant.</x:v>
      </x:c>
      <x:c r="I14" s="4" t="str">
        <x:v>https://arxiv.org/html/2402.17810v2
https://arxiv.org/html/2502.07527v3</x:v>
      </x:c>
      <x:c r="J14" s="4" t="str">
        <x:v>https://github.com/DeepGraphLearning/PEER_Benchmark</x:v>
      </x:c>
    </x:row>
    <x:row r="15" ht="42" customHeight="1">
      <x:c r="A15" s="14" t="str">
        <x:v>P11</x:v>
      </x:c>
      <x:c r="B15" s="14" t="str">
        <x:v>Yeast protein–protein interaction — PEER</x:v>
      </x:c>
      <x:c r="C15" s="14" t="str">
        <x:v>Two full protein sequences</x:v>
      </x:c>
      <x:c r="D15" s="14" t="str">
        <x:v>Interaction / no interaction</x:v>
      </x:c>
      <x:c r="E15" s="14" t="str">
        <x:v>Accuracy</x:v>
      </x:c>
      <x:c r="F15" s="14" t="str">
        <x:v>Official yeast PEER PPI split; preserve negative construction.</x:v>
      </x:c>
      <x:c r="G15" s="14" t="str">
        <x:v>BioT5+ multitask: 66.16 ± 0.43% accuracy; BioT5 single-task: 64.89 ± 0.43%.</x:v>
      </x:c>
      <x:c r="H15" s="14" t="str">
        <x:v>Not TCR–pMHC specificity and not a measured dissociation constant.</x:v>
      </x:c>
      <x:c r="I15" s="14" t="str">
        <x:v>https://arxiv.org/html/2402.17810v2
https://arxiv.org/html/2502.07527v3</x:v>
      </x:c>
      <x:c r="J15" s="14" t="str">
        <x:v>https://github.com/DeepGraphLearning/PEER_Benchmark</x:v>
      </x:c>
    </x:row>
    <x:row r="16" ht="42" customHeight="1">
      <x:c r="A16" s="4" t="str">
        <x:v>P12</x:v>
      </x:c>
      <x:c r="B16" s="4" t="str">
        <x:v>Enzyme Commission labels — DeepFRI split</x:v>
      </x:c>
      <x:c r="C16" s="4" t="str">
        <x:v>Protein sequence</x:v>
      </x:c>
      <x:c r="D16" s="4" t="str">
        <x:v>One or more EC labels</x:v>
      </x:c>
      <x:c r="E16" s="4" t="str">
        <x:v>Micro-AP/AUPR; Fmax</x:v>
      </x:c>
      <x:c r="F16" s="4" t="str">
        <x:v>ProtST uses the DeepFRI task split with a 95% sequence-identity cutoff.</x:v>
      </x:c>
      <x:c r="G16" s="4" t="str">
        <x:v>ProtST-ESM-2 Fmax 0.878; ESM-2 Fmax 0.874 for EC, with full-model supervised fine-tuning.</x:v>
      </x:c>
      <x:c r="H16" s="4" t="str">
        <x:v>Multilabel annotation recovery; incomplete annotation is not verified absence of an activity.</x:v>
      </x:c>
      <x:c r="I16" s="4" t="str">
        <x:v>https://proceedings.mlr.press/v202/xu23t/xu23t.pdf</x:v>
      </x:c>
      <x:c r="J16" s="4" t="str">
        <x:v>https://github.com/DeepGraphLearning/ProtST</x:v>
      </x:c>
    </x:row>
    <x:row r="17" ht="56" customHeight="1">
      <x:c r="A17" s="14" t="str">
        <x:v>P13</x:v>
      </x:c>
      <x:c r="B17" s="14" t="str">
        <x:v>GO biological process — DeepFRI split</x:v>
      </x:c>
      <x:c r="C17" s="14" t="str">
        <x:v>Protein sequence</x:v>
      </x:c>
      <x:c r="D17" s="14" t="str">
        <x:v>A set of GO terms</x:v>
      </x:c>
      <x:c r="E17" s="14" t="str">
        <x:v>Micro-AP/AUPR; Fmax</x:v>
      </x:c>
      <x:c r="F17" s="14" t="str">
        <x:v>Keep BP/MF/CC separate; ProtST's DeepFRI-derived split.</x:v>
      </x:c>
      <x:c r="G17" s="14" t="str">
        <x:v>ProtST-ESM-2 Fmax 0.482; ESM-2 Fmax 0.472 for GO-BP, with full-model supervised fine-tuning.</x:v>
      </x:c>
      <x:c r="H17" s="14" t="str">
        <x:v>Not a free-form rationale score. GO label incompleteness and ontology propagation affect evaluation.</x:v>
      </x:c>
      <x:c r="I17" s="14" t="str">
        <x:v>https://proceedings.mlr.press/v202/xu23t/xu23t.pdf</x:v>
      </x:c>
      <x:c r="J17" s="14" t="str">
        <x:v>https://github.com/DeepGraphLearning/ProtST</x:v>
      </x:c>
    </x:row>
    <x:row r="18" ht="56" customHeight="1">
      <x:c r="A18" s="4" t="str">
        <x:v>P14</x:v>
      </x:c>
      <x:c r="B18" s="4" t="str">
        <x:v>GO molecular function — DeepFRI split</x:v>
      </x:c>
      <x:c r="C18" s="4" t="str">
        <x:v>Protein sequence</x:v>
      </x:c>
      <x:c r="D18" s="4" t="str">
        <x:v>A set of GO terms</x:v>
      </x:c>
      <x:c r="E18" s="4" t="str">
        <x:v>Micro-AP/AUPR; Fmax</x:v>
      </x:c>
      <x:c r="F18" s="4" t="str">
        <x:v>Keep BP/MF/CC separate; ProtST's DeepFRI-derived split.</x:v>
      </x:c>
      <x:c r="G18" s="4" t="str">
        <x:v>ProtST-ESM-2 Fmax 0.668; ESM-2 Fmax 0.662 for GO-MF, with full-model supervised fine-tuning.</x:v>
      </x:c>
      <x:c r="H18" s="4" t="str">
        <x:v>Not a free-form rationale score. GO label incompleteness and ontology propagation affect evaluation.</x:v>
      </x:c>
      <x:c r="I18" s="4" t="str">
        <x:v>https://proceedings.mlr.press/v202/xu23t/xu23t.pdf</x:v>
      </x:c>
      <x:c r="J18" s="4" t="str">
        <x:v>https://github.com/DeepGraphLearning/ProtST</x:v>
      </x:c>
    </x:row>
    <x:row r="19" ht="56" customHeight="1">
      <x:c r="A19" s="14" t="str">
        <x:v>P15</x:v>
      </x:c>
      <x:c r="B19" s="14" t="str">
        <x:v>GO cellular component — DeepFRI split</x:v>
      </x:c>
      <x:c r="C19" s="14" t="str">
        <x:v>Protein sequence</x:v>
      </x:c>
      <x:c r="D19" s="14" t="str">
        <x:v>A set of GO terms</x:v>
      </x:c>
      <x:c r="E19" s="14" t="str">
        <x:v>Micro-AP/AUPR; Fmax</x:v>
      </x:c>
      <x:c r="F19" s="14" t="str">
        <x:v>Keep BP/MF/CC separate; ProtST's DeepFRI-derived split.</x:v>
      </x:c>
      <x:c r="G19" s="14" t="str">
        <x:v>ProtST-ESM-2 Fmax 0.487; ESM-2 Fmax 0.472 for GO-CC, with full-model supervised fine-tuning.</x:v>
      </x:c>
      <x:c r="H19" s="14" t="str">
        <x:v>Not a free-form rationale score. GO label incompleteness and ontology propagation affect evaluation.</x:v>
      </x:c>
      <x:c r="I19" s="14" t="str">
        <x:v>https://proceedings.mlr.press/v202/xu23t/xu23t.pdf</x:v>
      </x:c>
      <x:c r="J19" s="14" t="str">
        <x:v>https://github.com/DeepGraphLearning/ProtST</x:v>
      </x:c>
    </x:row>
    <x:row r="20" ht="70" customHeight="1">
      <x:c r="A20" s="4" t="str">
        <x:v>P16</x:v>
      </x:c>
      <x:c r="B20" s="4" t="str">
        <x:v>Reaction class — zero-/few-shot</x:v>
      </x:c>
      <x:c r="C20" s="4" t="str">
        <x:v>Protein sequence plus reaction-label descriptions</x:v>
      </x:c>
      <x:c r="D20" s="4" t="str">
        <x:v>One of 384 classes</x:v>
      </x:c>
      <x:c r="E20" s="4" t="str">
        <x:v>Accuracy</x:v>
      </x:c>
      <x:c r="F20" s="4" t="str">
        <x:v>ProtST zero-shot/few-shot experiment; shots and ensemble settings must be recorded.</x:v>
      </x:c>
      <x:c r="G20" s="4" t="str">
        <x:v>Zero-/few-shot results are reported, but a numeric value for the exact zero-shot reaction setting is not transcribed here. Do not substitute the fully supervised reaction score.</x:v>
      </x:c>
      <x:c r="H20" s="4" t="str">
        <x:v>Zero-shot text-label matching is not the same protocol as fitting a fully supervised classifier.</x:v>
      </x:c>
      <x:c r="I20" s="4" t="str">
        <x:v>https://proceedings.mlr.press/v202/xu23t/xu23t.pdf</x:v>
      </x:c>
      <x:c r="J20" s="4" t="str">
        <x:v>https://github.com/DeepGraphLearning/ProtST</x:v>
      </x:c>
    </x:row>
    <x:row r="21" ht="56" customHeight="1">
      <x:c r="A21" s="14" t="str">
        <x:v>P17</x:v>
      </x:c>
      <x:c r="B21" s="14" t="str">
        <x:v>ProteinGym DMS substitution benchmark</x:v>
      </x:c>
      <x:c r="C21" s="14" t="str">
        <x:v>Reference and variant sequences; optional structure/MSA only if the protocol allows</x:v>
      </x:c>
      <x:c r="D21" s="14" t="str">
        <x:v>One score per variant</x:v>
      </x:c>
      <x:c r="E21" s="14" t="str">
        <x:v>Spearman primary; suite also reports ranking/classification summaries</x:v>
      </x:c>
      <x:c r="F21" s="14" t="str">
        <x:v>Pin release: modern v1.3 substitution subset has 217 assays; an older paper may use an earlier snapshot.</x:v>
      </x:c>
      <x:c r="G21" s="14" t="str">
        <x:v>The official benchmark reports model-by-assay results. No single release-matched aggregate is transcribed in this table.</x:v>
      </x:c>
      <x:c r="H21" s="14" t="str">
        <x:v>Score within each assay. Different assay scores are not a shared physical unit; fitness is not always binding.</x:v>
      </x:c>
      <x:c r="I21" s="14" t="str">
        <x:v>https://github.com/OATML-Markslab/ProteinGym</x:v>
      </x:c>
      <x:c r="J21" s="14" t="str">
        <x:v>https://github.com/OATML-Markslab/ProteinGym</x:v>
      </x:c>
    </x:row>
    <x:row r="22" ht="56" customHeight="1">
      <x:c r="A22" s="4" t="str">
        <x:v>P18</x:v>
      </x:c>
      <x:c r="B22" s="4" t="str">
        <x:v>PG-LLM / ProteinGym-LLM ranking</x:v>
      </x:c>
      <x:c r="C22" s="4" t="str">
        <x:v>Full reference sequence, assay description, shuffled candidate sequences</x:v>
      </x:c>
      <x:c r="D22" s="4" t="str">
        <x:v>Ordered candidate identifiers</x:v>
      </x:c>
      <x:c r="E22" s="4" t="str">
        <x:v>Per-assay Spearman</x:v>
      </x:c>
      <x:c r="F22" s="4" t="str">
        <x:v>eval-data-v1.2: 217 assays; N=10/50/100; seeds 1/2/3; labels separate from model-facing inputs.</x:v>
      </x:c>
      <x:c r="G22" s="4" t="str">
        <x:v>The frozen sequence-ranking protocol is documented. A verified numeric leaderboard result was not recovered from the inspected repository.</x:v>
      </x:c>
      <x:c r="H22" s="4" t="str">
        <x:v>Evaluation-only: do not train, tune prompts, distill or perform retrieval augmentation using these candidate sets/labels.</x:v>
      </x:c>
      <x:c r="I22" s="4" t="str">
        <x:v>https://github.com/rohitarorayyc/proteingym-llm</x:v>
      </x:c>
      <x:c r="J22" s="4" t="str">
        <x:v>https://github.com/rohitarorayyc/proteingym-llm/blob/main/DATA.md</x:v>
      </x:c>
    </x:row>
    <x:row r="23" ht="56" customHeight="1">
      <x:c r="A23" s="14" t="str">
        <x:v>P19</x:v>
      </x:c>
      <x:c r="B23" s="14" t="str">
        <x:v>PFArena T1: single-mutant generation</x:v>
      </x:c>
      <x:c r="C23" s="14" t="str">
        <x:v>Reference protein + objective; no target-specific mutant measurements</x:v>
      </x:c>
      <x:c r="D23" s="14" t="str">
        <x:v>Up to the allowed number of single substitutions</x:v>
      </x:c>
      <x:c r="E23" s="14" t="str">
        <x:v>Recall@40; normalized maximum recovered score</x:v>
      </x:c>
      <x:c r="F23" s="14" t="str">
        <x:v>123 assays; budget 40; 594,695 measured single mutants in the reported source universe</x:v>
      </x:c>
      <x:c r="G23" s="14" t="str">
        <x:v>T1 Recall@40: ESM-2 0.0370; the paper's 'GPT-6-Astra' baseline 0.0254; random 0.0142.</x:v>
      </x:c>
      <x:c r="H23" s="14" t="str">
        <x:v>The tasks differ in permitted evidence. 'Anchor' is a tested mutant, not an HLA anchor residue. Assay sets overlap.</x:v>
      </x:c>
      <x:c r="I23" s="14" t="str">
        <x:v>https://arxiv.org/html/2609.28921v1</x:v>
      </x:c>
      <x:c r="J23" s="14" t="str">
        <x:v>https://arxiv.org/html/2609.28921v1</x:v>
      </x:c>
    </x:row>
    <x:row r="24" ht="56" customHeight="1">
      <x:c r="A24" s="4" t="str">
        <x:v>P20</x:v>
      </x:c>
      <x:c r="B24" s="4" t="str">
        <x:v>PFArena T2: measurement-free multi-mutant ranking</x:v>
      </x:c>
      <x:c r="C24" s="4" t="str">
        <x:v>Reference + objective + candidate combinations; no target-specific measured labels</x:v>
      </x:c>
      <x:c r="D24" s="4" t="str">
        <x:v>Candidate ranking</x:v>
      </x:c>
      <x:c r="E24" s="4" t="str">
        <x:v>Spearman; NDCG; normalized max@K; Recall@K</x:v>
      </x:c>
      <x:c r="F24" s="4" t="str">
        <x:v>74 assays; 6,288 candidates</x:v>
      </x:c>
      <x:c r="G24" s="4" t="str">
        <x:v>T2 Spearman: ESM-2 0.2539; paper's GPT-6-Astra 0.2726; AMixKit + Claude-Opus-5 0.3330.</x:v>
      </x:c>
      <x:c r="H24" s="4" t="str">
        <x:v>The tasks differ in permitted evidence. 'Anchor' is a tested mutant, not an HLA anchor residue. Assay sets overlap.</x:v>
      </x:c>
      <x:c r="I24" s="4" t="str">
        <x:v>https://arxiv.org/html/2609.28921v1</x:v>
      </x:c>
      <x:c r="J24" s="4" t="str">
        <x:v>https://arxiv.org/html/2609.28921v1</x:v>
      </x:c>
    </x:row>
    <x:row r="25" ht="56" customHeight="1">
      <x:c r="A25" s="14" t="str">
        <x:v>P21</x:v>
      </x:c>
      <x:c r="B25" s="14" t="str">
        <x:v>PFArena T3: anchor-informed ranking</x:v>
      </x:c>
      <x:c r="C25" s="14" t="str">
        <x:v>A measured anchor mutant + strictly extending candidate combinations</x:v>
      </x:c>
      <x:c r="D25" s="14" t="str">
        <x:v>Candidate ranking</x:v>
      </x:c>
      <x:c r="E25" s="14" t="str">
        <x:v>Spearman; NDCG; normalized max@K; Recall@K</x:v>
      </x:c>
      <x:c r="F25" s="14" t="str">
        <x:v>67 assays; 3,648 candidates</x:v>
      </x:c>
      <x:c r="G25" s="14" t="str">
        <x:v>T3 Spearman: ESM-2 0.3128; paper's GPT-6-Astra 0.3516; Biomni + Claude-Opus-5 0.4511.</x:v>
      </x:c>
      <x:c r="H25" s="14" t="str">
        <x:v>The tasks differ in permitted evidence. 'Anchor' is a tested mutant, not an HLA anchor residue. Assay sets overlap.</x:v>
      </x:c>
      <x:c r="I25" s="14" t="str">
        <x:v>https://arxiv.org/html/2609.28921v1</x:v>
      </x:c>
      <x:c r="J25" s="14" t="str">
        <x:v>https://arxiv.org/html/2609.28921v1</x:v>
      </x:c>
    </x:row>
    <x:row r="26" ht="56" customHeight="1">
      <x:c r="A26" s="4" t="str">
        <x:v>P22</x:v>
      </x:c>
      <x:c r="B26" s="4" t="str">
        <x:v>PFArena T4: single-mutant-informed ranking</x:v>
      </x:c>
      <x:c r="C26" s="4" t="str">
        <x:v>Component single-mutant measurements + candidate multi-mutants</x:v>
      </x:c>
      <x:c r="D26" s="4" t="str">
        <x:v>Candidate ranking</x:v>
      </x:c>
      <x:c r="E26" s="4" t="str">
        <x:v>Spearman; NDCG; normalized max@K; Recall@K</x:v>
      </x:c>
      <x:c r="F26" s="4" t="str">
        <x:v>29 assays; 2,638 candidates; 28,609 single-mutant context records</x:v>
      </x:c>
      <x:c r="G26" s="4" t="str">
        <x:v>T4 Spearman: ESM-2 0.3153; paper's GPT-6-Astra 0.5988; AMixKit + Claude-Opus-5 0.6462.</x:v>
      </x:c>
      <x:c r="H26" s="4" t="str">
        <x:v>The tasks differ in permitted evidence. 'Anchor' is a tested mutant, not an HLA anchor residue. Assay sets overlap.</x:v>
      </x:c>
      <x:c r="I26" s="4" t="str">
        <x:v>https://arxiv.org/html/2609.28921v1</x:v>
      </x:c>
      <x:c r="J26" s="4" t="str">
        <x:v>https://arxiv.org/html/2609.28921v1</x:v>
      </x:c>
    </x:row>
    <x:row r="27" ht="56" customHeight="1">
      <x:c r="A27" s="14" t="str">
        <x:v>P23</x:v>
      </x:c>
      <x:c r="B27" s="14" t="str">
        <x:v>Mol-Instructions: Protein function generation</x:v>
      </x:c>
      <x:c r="C27" s="14" t="str">
        <x:v>Full protein sequence and instruction</x:v>
      </x:c>
      <x:c r="D27" s="14" t="str">
        <x:v>Function/GO description</x:v>
      </x:c>
      <x:c r="E27" s="14" t="str">
        <x:v>ROUGE-L in BioT5+ protein-text experiments</x:v>
      </x:c>
      <x:c r="F27" s="14" t="str">
        <x:v>Use the Mol-Instructions task-specific split; not one interchangeable pool of protein questions.</x:v>
      </x:c>
      <x:c r="G27" s="14" t="str">
        <x:v>The authors report BioT5+ leads the four protein-text tasks in Figure 2. Exact numeric ROUGE-L for this task was not transcribed from the figure.</x:v>
      </x:c>
      <x:c r="H27" s="14" t="str">
        <x:v>Text overlap can reward similar wording without validating every biological claim.</x:v>
      </x:c>
      <x:c r="I27" s="14" t="str">
        <x:v>https://arxiv.org/html/2402.17810v2</x:v>
      </x:c>
      <x:c r="J27" s="14" t="str">
        <x:v>https://github.com/zjunlp/Mol-Instructions</x:v>
      </x:c>
    </x:row>
    <x:row r="28" ht="56" customHeight="1">
      <x:c r="A28" s="4" t="str">
        <x:v>P24</x:v>
      </x:c>
      <x:c r="B28" s="4" t="str">
        <x:v>Mol-Instructions: Catalytic activity generation</x:v>
      </x:c>
      <x:c r="C28" s="4" t="str">
        <x:v>Full protein sequence and instruction</x:v>
      </x:c>
      <x:c r="D28" s="4" t="str">
        <x:v>Text describing catalytic activity</x:v>
      </x:c>
      <x:c r="E28" s="4" t="str">
        <x:v>ROUGE-L in BioT5+ protein-text experiments</x:v>
      </x:c>
      <x:c r="F28" s="4" t="str">
        <x:v>Use the Mol-Instructions task-specific split; not one interchangeable pool of protein questions.</x:v>
      </x:c>
      <x:c r="G28" s="4" t="str">
        <x:v>The authors report BioT5+ leads the four protein-text tasks in Figure 2. Exact numeric ROUGE-L for this task was not transcribed from the figure.</x:v>
      </x:c>
      <x:c r="H28" s="4" t="str">
        <x:v>Text overlap can reward similar wording without validating every biological claim.</x:v>
      </x:c>
      <x:c r="I28" s="4" t="str">
        <x:v>https://arxiv.org/html/2402.17810v2</x:v>
      </x:c>
      <x:c r="J28" s="4" t="str">
        <x:v>https://github.com/zjunlp/Mol-Instructions</x:v>
      </x:c>
    </x:row>
    <x:row r="29" ht="56" customHeight="1">
      <x:c r="A29" s="14" t="str">
        <x:v>P25</x:v>
      </x:c>
      <x:c r="B29" s="14" t="str">
        <x:v>Mol-Instructions: Domain and motif generation</x:v>
      </x:c>
      <x:c r="C29" s="14" t="str">
        <x:v>Full protein sequence and instruction</x:v>
      </x:c>
      <x:c r="D29" s="14" t="str">
        <x:v>Domain/motif description</x:v>
      </x:c>
      <x:c r="E29" s="14" t="str">
        <x:v>ROUGE-L in BioT5+ protein-text experiments</x:v>
      </x:c>
      <x:c r="F29" s="14" t="str">
        <x:v>Use the Mol-Instructions task-specific split; not one interchangeable pool of protein questions.</x:v>
      </x:c>
      <x:c r="G29" s="14" t="str">
        <x:v>The authors report BioT5+ leads the four protein-text tasks in Figure 2. Exact numeric ROUGE-L for this task was not transcribed from the figure.</x:v>
      </x:c>
      <x:c r="H29" s="14" t="str">
        <x:v>Text overlap can reward similar wording without validating every biological claim.</x:v>
      </x:c>
      <x:c r="I29" s="14" t="str">
        <x:v>https://arxiv.org/html/2402.17810v2</x:v>
      </x:c>
      <x:c r="J29" s="14" t="str">
        <x:v>https://github.com/zjunlp/Mol-Instructions</x:v>
      </x:c>
    </x:row>
    <x:row r="30" ht="56" customHeight="1">
      <x:c r="A30" s="4" t="str">
        <x:v>P26</x:v>
      </x:c>
      <x:c r="B30" s="4" t="str">
        <x:v>Mol-Instructions: Functional description generation</x:v>
      </x:c>
      <x:c r="C30" s="4" t="str">
        <x:v>Full protein sequence and instruction</x:v>
      </x:c>
      <x:c r="D30" s="4" t="str">
        <x:v>Natural-language function summary</x:v>
      </x:c>
      <x:c r="E30" s="4" t="str">
        <x:v>ROUGE-L in BioT5+ protein-text experiments</x:v>
      </x:c>
      <x:c r="F30" s="4" t="str">
        <x:v>Use the Mol-Instructions task-specific split; not one interchangeable pool of protein questions.</x:v>
      </x:c>
      <x:c r="G30" s="4" t="str">
        <x:v>The authors report BioT5+ leads the four protein-text tasks in Figure 2. Exact numeric ROUGE-L for this task was not transcribed from the figure.</x:v>
      </x:c>
      <x:c r="H30" s="4" t="str">
        <x:v>Text overlap can reward similar wording without validating every biological claim.</x:v>
      </x:c>
      <x:c r="I30" s="4" t="str">
        <x:v>https://arxiv.org/html/2402.17810v2</x:v>
      </x:c>
      <x:c r="J30" s="4" t="str">
        <x:v>https://github.com/zjunlp/Mol-Instructions</x:v>
      </x:c>
    </x:row>
    <x:row r="31" ht="42" customHeight="1">
      <x:c r="A31" s="14" t="str">
        <x:v>P27</x:v>
      </x:c>
      <x:c r="B31" s="14" t="str">
        <x:v>NatureLM protein description</x:v>
      </x:c>
      <x:c r="C31" s="14" t="str">
        <x:v>Protein sequence</x:v>
      </x:c>
      <x:c r="D31" s="14" t="str">
        <x:v>Functional description</x:v>
      </x:c>
      <x:c r="E31" s="14" t="str">
        <x:v>ROUGE-L</x:v>
      </x:c>
      <x:c r="F31" s="14" t="str">
        <x:v>Paper reports a temporal split; exact frozen test release/count not recovered.</x:v>
      </x:c>
      <x:c r="G31" s="14" t="str">
        <x:v>ROUGE-L: NatureLM-8x7B 0.585; fine-tuned Llama-3-8B 0.324; GPT-4o 0.091.</x:v>
      </x:c>
      <x:c r="H31" s="14" t="str">
        <x:v>Do not replace its temporal test with arbitrary UniProt rows and claim exact reproduction.</x:v>
      </x:c>
      <x:c r="I31" s="14" t="str">
        <x:v>https://arxiv.org/html/2502.07527v3</x:v>
      </x:c>
      <x:c r="J31" s="14" t="str">
        <x:v>https://github.com/microsoft/SFM</x:v>
      </x:c>
    </x:row>
    <x:row r="32" ht="56" customHeight="1">
      <x:c r="A32" s="4" t="str">
        <x:v>P28</x:v>
      </x:c>
      <x:c r="B32" s="4" t="str">
        <x:v>BioReason-Pro temporal GO test</x:v>
      </x:c>
      <x:c r="C32" s="4" t="str">
        <x:v>Protein representations and the context permitted by the released evaluator</x:v>
      </x:c>
      <x:c r="D32" s="4" t="str">
        <x:v>GO term predictions (BP, MF, CC)</x:v>
      </x:c>
      <x:c r="E32" s="4" t="str">
        <x:v>Fmax; information-accretion-weighted Fmax</x:v>
      </x:c>
      <x:c r="F32" s="4" t="str">
        <x:v>Released test data: 8,630 proteins; preserve the specified temporal and annotation cutoffs.</x:v>
      </x:c>
      <x:c r="G32" s="4" t="str">
        <x:v>Repository headline: BioReason-Pro 73.6% Fmax. Per-aspect and aggregation details must be taken from the exact paper evaluator.</x:v>
      </x:c>
      <x:c r="H32" s="4" t="str">
        <x:v>No observed label is not proof of no function. Separate predicted context from gold annotations.</x:v>
      </x:c>
      <x:c r="I32" s="4" t="str">
        <x:v>https://www.biorxiv.org/content/10.64898/2026.03.19.712954v2.full</x:v>
      </x:c>
      <x:c r="J32" s="4" t="str">
        <x:v>https://huggingface.co/datasets/wanglab/bioreason-pro-test-data</x:v>
      </x:c>
    </x:row>
    <x:row r="33" ht="56" customHeight="1">
      <x:c r="A33" s="14" t="str">
        <x:v>P29</x:v>
      </x:c>
      <x:c r="B33" s="14" t="str">
        <x:v>Bio-posttrain species-held-out GO test</x:v>
      </x:c>
      <x:c r="C33" s="14" t="str">
        <x:v>Protein inputs and permitted contextual annotations</x:v>
      </x:c>
      <x:c r="D33" s="14" t="str">
        <x:v>GO label set</x:v>
      </x:c>
      <x:c r="E33" s="14" t="str">
        <x:v>Propagated GO-F1</x:v>
      </x:c>
      <x:c r="F33" s="14" t="str">
        <x:v>Two held-out species in the paper; exact species/counts not established in this review. Also discusses inherited temporal protocol.</x:v>
      </x:c>
      <x:c r="G33" s="14" t="str">
        <x:v>Species-held-out GO evaluation is described; a verified numeric result for the exact protein split is not transcribed here.</x:v>
      </x:c>
      <x:c r="H33" s="14" t="str">
        <x:v>Do not substitute the original BioReason-Pro 8,630-protein split or its Fmax scorer without documenting the change.</x:v>
      </x:c>
      <x:c r="I33" s="14" t="str">
        <x:v>https://arxiv.org/html/2606.16517v1</x:v>
      </x:c>
      <x:c r="J33" s="14" t="str">
        <x:v>https://github.com/mims-harvard/bio-posttrain</x:v>
      </x:c>
    </x:row>
    <x:row r="34" ht="56" customHeight="1">
      <x:c r="A34" s="4" t="str">
        <x:v>P30</x:v>
      </x:c>
      <x:c r="B34" s="4" t="str">
        <x:v>MutaDescribe mutation explanation</x:v>
      </x:c>
      <x:c r="C34" s="4" t="str">
        <x:v>Reference and mutant sequences/change, plus model-specific protein context</x:v>
      </x:c>
      <x:c r="D34" s="4" t="str">
        <x:v>A description of the mutation's effect</x:v>
      </x:c>
      <x:c r="E34" s="4" t="str">
        <x:v>BLEU-2; ROUGE-L; GPT-4-plus-human categorical review</x:v>
      </x:c>
      <x:c r="F34" s="4" t="str">
        <x:v>Random split then similarity tiers: Easy 460, Medium 384, Hard 404. Separate temporal test has 1,611 examples.</x:v>
      </x:c>
      <x:c r="G34" s="4" t="str">
        <x:v>Average ROUGE-L / BLEU-2 (0–100 scale): MutaPLM 21.34 / 13.61; GPT-4-0613 with five-shot nearest-neighbor examples 12.31 / 9.69.</x:v>
      </x:c>
      <x:c r="H34" s="4" t="str">
        <x:v>Similarity tiers do not make the entire split homology-disjoint. Judge output is not independent experimental verification.</x:v>
      </x:c>
      <x:c r="I34" s="4" t="str">
        <x:v>https://arxiv.org/html/2410.22949v1</x:v>
      </x:c>
      <x:c r="J34" s="4" t="str">
        <x:v>https://huggingface.co/datasets/PharMolix/MutaDescribe</x:v>
      </x:c>
    </x:row>
    <x:row r="35" ht="56" customHeight="1">
      <x:c r="A35" s="14" t="str">
        <x:v>P31</x:v>
      </x:c>
      <x:c r="B35" s="14" t="str">
        <x:v>MutaDescribe mutation engineering — position supplied</x:v>
      </x:c>
      <x:c r="C35" s="14" t="str">
        <x:v>Protein, desired effect, correct mutation position</x:v>
      </x:c>
      <x:c r="D35" s="14" t="str">
        <x:v>Amino-acid identity</x:v>
      </x:c>
      <x:c r="E35" s="14" t="str">
        <x:v>Accuracy</x:v>
      </x:c>
      <x:c r="F35" s="14" t="str">
        <x:v>Same similarity/temporal splits as MutaDescribe; supplied position simplifies the task.</x:v>
      </x:c>
      <x:c r="G35" s="14" t="str">
        <x:v>Replacement-residue accuracy: MutaPLM 53.51%; fine-tuned ESM-2 51.43%; GPT-4-0613 five-shot-nearest-neighbor 15.06%.</x:v>
      </x:c>
      <x:c r="H35" s="14" t="str">
        <x:v>Recovery of one annotated mutation is not the fraction of novel designs that work.</x:v>
      </x:c>
      <x:c r="I35" s="14" t="str">
        <x:v>https://arxiv.org/html/2410.22949v1</x:v>
      </x:c>
      <x:c r="J35" s="14" t="str">
        <x:v>https://huggingface.co/datasets/PharMolix/MutaDescribe</x:v>
      </x:c>
    </x:row>
    <x:row r="36" ht="56" customHeight="1">
      <x:c r="A36" s="4" t="str">
        <x:v>P32</x:v>
      </x:c>
      <x:c r="B36" s="4" t="str">
        <x:v>MutaDescribe mutation engineering — position unknown</x:v>
      </x:c>
      <x:c r="C36" s="4" t="str">
        <x:v>Protein and desired effect</x:v>
      </x:c>
      <x:c r="D36" s="4" t="str">
        <x:v>Ranked single-site substitutions</x:v>
      </x:c>
      <x:c r="E36" s="4" t="str">
        <x:v>Recall@50</x:v>
      </x:c>
      <x:c r="F36" s="4" t="str">
        <x:v>Search covers 19 × sequence-length substitutions; preserve the paper's candidate definition.</x:v>
      </x:c>
      <x:c r="G36" s="4" t="str">
        <x:v>Recall@50: MutaPLM 40.94%; fine-tuned ESM-2 33.77%; GPT-4-0613 five-shot-nearest-neighbor 7.56%.</x:v>
      </x:c>
      <x:c r="H36" s="4" t="str">
        <x:v>A different useful but unannotated mutation can score as a miss.</x:v>
      </x:c>
      <x:c r="I36" s="4" t="str">
        <x:v>https://arxiv.org/html/2410.22949v1</x:v>
      </x:c>
      <x:c r="J36" s="4" t="str">
        <x:v>https://huggingface.co/datasets/PharMolix/MutaDescribe</x:v>
      </x:c>
    </x:row>
    <x:row r="37" ht="56" customHeight="1">
      <x:c r="A37" s="14" t="str">
        <x:v>P33</x:v>
      </x:c>
      <x:c r="B37" s="14" t="str">
        <x:v>MutaPLM low-N fitness regression</x:v>
      </x:c>
      <x:c r="C37" s="14" t="str">
        <x:v>Variant representations; a separately fitted regression head</x:v>
      </x:c>
      <x:c r="D37" s="14" t="str">
        <x:v>Continuous score</x:v>
      </x:c>
      <x:c r="E37" s="14" t="str">
        <x:v>Spearman</x:v>
      </x:c>
      <x:c r="F37" s="14" t="str">
        <x:v>192 training and 48 validation samples; five random seeds. Remaining held-out data evaluated per source.</x:v>
      </x:c>
      <x:c r="G37" s="14" t="str">
        <x:v>Low-data regression curves are reported with 192 train / 48 validation examples; no exact assay-specific point estimate is transcribed here.</x:v>
      </x:c>
      <x:c r="H37" s="14" t="str">
        <x:v>This is supervised low-N prediction, not zero-shot generation. Do not reuse the labeled seed points as test examples.</x:v>
      </x:c>
      <x:c r="I37" s="14" t="str">
        <x:v>https://arxiv.org/html/2410.22949v1</x:v>
      </x:c>
      <x:c r="J37" s="14" t="str">
        <x:v>https://github.com/PharMolix/MutaPLM</x:v>
      </x:c>
    </x:row>
    <x:row r="38" ht="70" customHeight="1">
      <x:c r="A38" s="4" t="str">
        <x:v>P34</x:v>
      </x:c>
      <x:c r="B38" s="4" t="str">
        <x:v>MutaPLM iterative sequence optimization</x:v>
      </x:c>
      <x:c r="C38" s="4" t="str">
        <x:v>Starting protein + textual objective + search procedure</x:v>
      </x:c>
      <x:c r="D38" s="4" t="str">
        <x:v>Sequence trajectory</x:v>
      </x:c>
      <x:c r="E38" s="4" t="str">
        <x:v>Mean predicted fitness trajectory and dispersion</x:v>
      </x:c>
      <x:c r="F38" s="4" t="str">
        <x:v>Six landscapes: AAV, AMIE, avGFP, E4B, LGK, UBE2I; 20 independent runs; preserve beam/search settings.</x:v>
      </x:c>
      <x:c r="G38" s="4" t="str">
        <x:v>The paper reports predicted-fitness improvement trajectories across six landscapes; these are oracle-based search outcomes, not experimentally measured hit rates.</x:v>
      </x:c>
      <x:c r="H38" s="4" t="str">
        <x:v>A learned scorer can be exploited; this experiment is not prospective laboratory success.</x:v>
      </x:c>
      <x:c r="I38" s="4" t="str">
        <x:v>https://arxiv.org/html/2410.22949v1</x:v>
      </x:c>
      <x:c r="J38" s="4" t="str">
        <x:v>https://github.com/PharMolix/MutaPLM</x:v>
      </x:c>
    </x:row>
    <x:row r="39" ht="56" customHeight="1">
      <x:c r="A39" s="14" t="str">
        <x:v>P35</x:v>
      </x:c>
      <x:c r="B39" s="14" t="str">
        <x:v>ProtST text-to-protein retrieval</x:v>
      </x:c>
      <x:c r="C39" s="14" t="str">
        <x:v>Text query and a protein search collection</x:v>
      </x:c>
      <x:c r="D39" s="14" t="str">
        <x:v>Ranked proteins</x:v>
      </x:c>
      <x:c r="E39" s="14" t="str">
        <x:v>Top-retrieval inspection; docking scores in case studies</x:v>
      </x:c>
      <x:c r="F39" s="14" t="str">
        <x:v>Selected queries such as heme binding; not a universal, fixed retrieval benchmark with one headline Recall@K.</x:v>
      </x:c>
      <x:c r="G39" s="14" t="str">
        <x:v>Selected text-to-protein retrieval and docking case studies are reported; no single fixed-corpus Recall@K benchmark result is transcribed.</x:v>
      </x:c>
      <x:c r="H39" s="14" t="str">
        <x:v>Docking and known annotations support case analysis; they do not prove all retrieved candidates bind experimentally.</x:v>
      </x:c>
      <x:c r="I39" s="14" t="str">
        <x:v>https://proceedings.mlr.press/v202/xu23t/xu23t.pdf</x:v>
      </x:c>
      <x:c r="J39" s="14" t="str">
        <x:v>https://github.com/DeepGraphLearning/ProtST</x:v>
      </x:c>
    </x:row>
    <x:row r="40" ht="56" customHeight="1">
      <x:c r="A40" s="4" t="str">
        <x:v>P36</x:v>
      </x:c>
      <x:c r="B40" s="4" t="str">
        <x:v>BioT5+ description-guided protein design</x:v>
      </x:c>
      <x:c r="C40" s="4" t="str">
        <x:v>Desired property/function in text</x:v>
      </x:c>
      <x:c r="D40" s="4" t="str">
        <x:v>New protein sequence</x:v>
      </x:c>
      <x:c r="E40" s="4" t="str">
        <x:v>Qualitative cases and sequence/reference comparisons</x:v>
      </x:c>
      <x:c r="F40" s="4" t="str">
        <x:v>The paper does not define a generally established benchmark for this task.</x:v>
      </x:c>
      <x:c r="G40" s="4" t="str">
        <x:v>Description-guided protein designs are presented as qualitative cases rather than a fixed, experimentally validated design-success rate.</x:v>
      </x:c>
      <x:c r="H40" s="4" t="str">
        <x:v>A plausible or similar sequence is not a measured successful design.</x:v>
      </x:c>
      <x:c r="I40" s="4" t="str">
        <x:v>https://arxiv.org/html/2402.17810v2</x:v>
      </x:c>
      <x:c r="J40" s="4" t="str">
        <x:v>https://github.com/QizhiPei/BioT5</x:v>
      </x:c>
    </x:row>
    <x:row r="41" ht="70" customHeight="1">
      <x:c r="A41" s="14" t="str">
        <x:v>P37</x:v>
      </x:c>
      <x:c r="B41" s="14" t="str">
        <x:v>NatureLM unconditional generation</x:v>
      </x:c>
      <x:c r="C41" s="14" t="str">
        <x:v>Protein generation prompt/prefix</x:v>
      </x:c>
      <x:c r="D41" s="14" t="str">
        <x:v>Protein sequence samples</x:v>
      </x:c>
      <x:c r="E41" s="14" t="str">
        <x:v>Length distribution; clustering-based diversity; pLDDT</x:v>
      </x:c>
      <x:c r="F41" s="14" t="str">
        <x:v>Generated samples compared with natural sequences; not a labeled holdout prediction set.</x:v>
      </x:c>
      <x:c r="G41" s="14" t="str">
        <x:v>Reported outputs are diversity/length distributions and predicted structural confidence. No experimentally measured function-success fraction is supplied by this evaluation.</x:v>
      </x:c>
      <x:c r="H41" s="14" t="str">
        <x:v>Diversity and predicted structure confidence do not establish function.</x:v>
      </x:c>
      <x:c r="I41" s="14" t="str">
        <x:v>https://arxiv.org/html/2502.07527v3</x:v>
      </x:c>
      <x:c r="J41" s="14" t="str">
        <x:v>https://github.com/microsoft/SFM</x:v>
      </x:c>
    </x:row>
    <x:row r="42" ht="56" customHeight="1">
      <x:c r="A42" s="4" t="str">
        <x:v>P38</x:v>
      </x:c>
      <x:c r="B42" s="4" t="str">
        <x:v>NatureLM stability/solubility-conditioned generation</x:v>
      </x:c>
      <x:c r="C42" s="4" t="str">
        <x:v>Property instruction</x:v>
      </x:c>
      <x:c r="D42" s="4" t="str">
        <x:v>Protein sequences</x:v>
      </x:c>
      <x:c r="E42" s="4" t="str">
        <x:v>Predicted property scores; diversity</x:v>
      </x:c>
      <x:c r="F42" s="4" t="str">
        <x:v>Paper uses a natural UR50 reference subset of 1,000 sequences in the conditioned comparison.</x:v>
      </x:c>
      <x:c r="G42" s="4" t="str">
        <x:v>The reported comparison uses learned stability/solubility scores and diversity. No measured stability/solubility success rate is transcribed.</x:v>
      </x:c>
      <x:c r="H42" s="4" t="str">
        <x:v>Predictor agreement, not experimentally measured stability/solubility of each generated sequence.</x:v>
      </x:c>
      <x:c r="I42" s="4" t="str">
        <x:v>https://arxiv.org/html/2502.07527v3</x:v>
      </x:c>
      <x:c r="J42" s="4" t="str">
        <x:v>https://github.com/microsoft/SFM</x:v>
      </x:c>
    </x:row>
    <x:row r="43" ht="56" customHeight="1">
      <x:c r="A43" s="14" t="str">
        <x:v>P39</x:v>
      </x:c>
      <x:c r="B43" s="14" t="str">
        <x:v>NatureLM heme-binding case study</x:v>
      </x:c>
      <x:c r="C43" s="14" t="str">
        <x:v>Text or heme-related input</x:v>
      </x:c>
      <x:c r="D43" s="14" t="str">
        <x:v>Candidate protein sequences</x:v>
      </x:c>
      <x:c r="E43" s="14" t="str">
        <x:v>Qualitative description/complex screening</x:v>
      </x:c>
      <x:c r="F43" s="14" t="str">
        <x:v>Selected candidates; no standard released labeled test-set size.</x:v>
      </x:c>
      <x:c r="G43" s="14" t="str">
        <x:v>Selected heme-binding candidates are screened with descriptions and predicted complexes; this is not experimentally demonstrated heme binding.</x:v>
      </x:c>
      <x:c r="H43" s="14" t="str">
        <x:v>Self-description is not independent validation; predicted complexes are not measured binding.</x:v>
      </x:c>
      <x:c r="I43" s="14" t="str">
        <x:v>https://arxiv.org/html/2502.07527v3</x:v>
      </x:c>
      <x:c r="J43" s="14" t="str">
        <x:v>https://github.com/microsoft/SFM</x:v>
      </x:c>
    </x:row>
    <x:row r="44" ht="56" customHeight="1">
      <x:c r="A44" s="4" t="str">
        <x:v>P40</x:v>
      </x:c>
      <x:c r="B44" s="4" t="str">
        <x:v>RAbD CDR-H3 redesign</x:v>
      </x:c>
      <x:c r="C44" s="4" t="str">
        <x:v>Antigen, antibody framework, fixed complex context; H3 masked</x:v>
      </x:c>
      <x:c r="D44" s="4" t="str">
        <x:v>H3 sequence and, for structural models, coordinates</x:v>
      </x:c>
      <x:c r="E44" s="4" t="str">
        <x:v>NatureLM: AAR. Proteo-R1: AAR, RMSD, lDDT, TM-score, DockQ.</x:v>
      </x:c>
      <x:c r="F44" s="4" t="str">
        <x:v>60 complexes; retain paper-specific renumbering, masked region and preprocessing.</x:v>
      </x:c>
      <x:c r="G44" s="4" t="str">
        <x:v>Proteo-R1: AAR 10.75%, lDDT 0.9693, TM-score 0.9816, RMSD 2.46 Å, DockQ 0.801. BoltzGen: AAR 39.07%, RMSD 2.69 Å, DockQ 0.473.</x:v>
      </x:c>
      <x:c r="H44" s="4" t="str">
        <x:v>High native recovery or geometric similarity does not imply measured binding for a new design.</x:v>
      </x:c>
      <x:c r="I44" s="4" t="str">
        <x:v>https://arxiv.org/html/2502.07527v3
https://arxiv.org/html/2605.02937v1</x:v>
      </x:c>
      <x:c r="J44" s="4" t="str">
        <x:v>https://arxiv.org/html/2605.02937v1</x:v>
      </x:c>
    </x:row>
    <x:row r="45" ht="56" customHeight="1">
      <x:c r="A45" s="14" t="str">
        <x:v>P41</x:v>
      </x:c>
      <x:c r="B45" s="14" t="str">
        <x:v>Proteo-R1 all-CDR SAbDab holdout</x:v>
      </x:c>
      <x:c r="C45" s="14" t="str">
        <x:v>Antigen/framework/docking context with CDR sequence/geometry masked</x:v>
      </x:c>
      <x:c r="D45" s="14" t="str">
        <x:v>CDR sequences and structures</x:v>
      </x:c>
      <x:c r="E45" s="14" t="str">
        <x:v>Structural/recovery/interface metrics; Rosetta-derived energy and clash diagnostics</x:v>
      </x:c>
      <x:c r="F45" s="14" t="str">
        <x:v>Release-time filtering and 50%-identity H3 clusters; 9:0.5:0.5 cluster split. Exact test count not established.</x:v>
      </x:c>
      <x:c r="G45" s="14" t="str">
        <x:v>Proteo-R1: H3 per-CDR RMSD 3.81 Å, Loop-RMSD 4.51 Å, IMP 56.58. MFDesign: 3.71 Å, 4.28 Å, IMP 59.16.</x:v>
      </x:c>
      <x:c r="H45" s="14" t="str">
        <x:v>Computational reconstruction/design. The original docking pose is assumed known; not unconstrained binder discovery.</x:v>
      </x:c>
      <x:c r="I45" s="14" t="str">
        <x:v>https://arxiv.org/html/2605.02937v1</x:v>
      </x:c>
      <x:c r="J45" s="14" t="str">
        <x:v>https://arxiv.org/html/2605.02937v1</x:v>
      </x:c>
    </x:row>
    <x:row r="46" ht="56" customHeight="1">
      <x:c r="A46" s="4" t="str">
        <x:v>P42</x:v>
      </x:c>
      <x:c r="B46" s="4" t="str">
        <x:v>STRIDE GFP generated-candidate evaluation</x:v>
      </x:c>
      <x:c r="C46" s="4" t="str">
        <x:v>Reference GFP + editing objective</x:v>
      </x:c>
      <x:c r="D46" s="4" t="str">
        <x:v>Edited GFP sequences</x:v>
      </x:c>
      <x:c r="E46" s="4" t="str">
        <x:v>Predicted improvement/success; uniqueness; novelty</x:v>
      </x:c>
      <x:c r="F46" s="4" t="str">
        <x:v>100 candidates per method from a common source; separate replace-only and full-edit settings.</x:v>
      </x:c>
      <x:c r="G46" s="4" t="str">
        <x:v>Fixed fluorescence-oracle successes: full edit setting 89/100 for STRIDE vs 42/100 SFT; replace-only 61/100 vs 55/100 SFT.</x:v>
      </x:c>
      <x:c r="H46" s="4" t="str">
        <x:v>These 100 candidates are not a wet-lab test set. Correctly applying edits does not validate fluorescence.</x:v>
      </x:c>
      <x:c r="I46" s="4" t="str">
        <x:v>https://arxiv.org/html/2603.03573v1</x:v>
      </x:c>
      <x:c r="J46" s="4" t="str">
        <x:v>https://github.com/daiheng-zhang/STRIDE</x:v>
      </x:c>
    </x:row>
    <x:row r="47" ht="42" customHeight="1">
      <x:c r="A47" s="14" t="str">
        <x:v>P43</x:v>
      </x:c>
      <x:c r="B47" s="14" t="str">
        <x:v>Drug–target interaction — BioSNAP/Human/BindingDB</x:v>
      </x:c>
      <x:c r="C47" s="14" t="str">
        <x:v>Small-molecule representation and protein sequence</x:v>
      </x:c>
      <x:c r="D47" s="14" t="str">
        <x:v>Interaction score</x:v>
      </x:c>
      <x:c r="E47" s="14" t="str">
        <x:v>AUROC in BioT5+ comparisons</x:v>
      </x:c>
      <x:c r="F47" s="14" t="str">
        <x:v>Three source benchmarks; preserve each split/negative/threshold rule.</x:v>
      </x:c>
      <x:c r="G47" s="14" t="str">
        <x:v>BioT5+ AUROC: BioSNAP 0.939 ± 0.001; Human 0.987 ± 0.001; BindingDB 0.964 ± 0.001.</x:v>
      </x:c>
      <x:c r="H47" s="14" t="str">
        <x:v>Secondary to the protein focus. Not protein–protein recognition or Affibody–pMHC evaluation.</x:v>
      </x:c>
      <x:c r="I47" s="14" t="str">
        <x:v>https://arxiv.org/html/2402.17810v2</x:v>
      </x:c>
      <x:c r="J47" s="14" t="str">
        <x:v>https://github.com/QizhiPei/BioT5</x:v>
      </x:c>
    </x:row>
    <x:row r="48" ht="56" customHeight="1">
      <x:c r="A48" s="4" t="str">
        <x:v>P44</x:v>
      </x:c>
      <x:c r="B48" s="4" t="str">
        <x:v>BioReason-Pro explanation assessment</x:v>
      </x:c>
      <x:c r="C48" s="4" t="str">
        <x:v>Protein/context plus generated explanation</x:v>
      </x:c>
      <x:c r="D48" s="4" t="str">
        <x:v>Explanation text / evaluator judgment</x:v>
      </x:c>
      <x:c r="E48" s="4" t="str">
        <x:v>Judge rubrics; qualitative/expert review</x:v>
      </x:c>
      <x:c r="F48" s="4" t="str">
        <x:v>Separate from the 8,630-protein GO-label metric; exact scored explanation subset not established here.</x:v>
      </x:c>
      <x:c r="G48" s="4" t="str">
        <x:v>Repository reports an LLM-judge score of 8/10 and expert preference over UniProt descriptions in 79% of reviewed cases.</x:v>
      </x:c>
      <x:c r="H48" s="4" t="str">
        <x:v>Correct GO labels do not guarantee that every intermediate statement is true.</x:v>
      </x:c>
      <x:c r="I48" s="4" t="str">
        <x:v>https://www.biorxiv.org/content/10.64898/2026.03.19.712954v2.full</x:v>
      </x:c>
      <x:c r="J48" s="4" t="str">
        <x:v>https://github.com/bowang-lab/BioReason-Pro</x:v>
      </x:c>
    </x:row>
    <x:row r="49" ht="56" customHeight="1">
      <x:c r="A49" s="14" t="str">
        <x:v>B01</x:v>
      </x:c>
      <x:c r="B49" s="14" t="str">
        <x:v>LAB-Bench / LitQA2</x:v>
      </x:c>
      <x:c r="C49" s="14" t="str">
        <x:v>Literature question; access to papers depends on evaluation protocol</x:v>
      </x:c>
      <x:c r="D49" s="14" t="str">
        <x:v>Multiple-choice answer or abstention</x:v>
      </x:c>
      <x:c r="E49" s="14" t="str">
        <x:v>Accuracy; selective precision and coverage when abstention is enabled</x:v>
      </x:c>
      <x:c r="F49" s="14" t="str">
        <x:v>Public subset commonly 1,967 questions across eight categories; original full set and private portion differ. Pin dataset revision.</x:v>
      </x:c>
      <x:c r="G49" s="14" t="str">
        <x:v>Original 2024 GPT-4o: 27% accuracy on LitQA2; averaged over 3 runs, full public + private evaluation.</x:v>
      </x:c>
      <x:c r="H49" s="14" t="str">
        <x:v>Keep resource access fixed. Original model evaluation was tool-free, unlike human baseline. MCQ success can partly reflect distractor elimination.</x:v>
      </x:c>
      <x:c r="I49" s="14" t="str">
        <x:v>https://arxiv.org/html/2407.10362v1
https://arxiv.org/html/2606.00902v1</x:v>
      </x:c>
      <x:c r="J49" s="14" t="str">
        <x:v>https://huggingface.co/datasets/futurehouse/lab-bench</x:v>
      </x:c>
    </x:row>
    <x:row r="50" ht="56" customHeight="1">
      <x:c r="A50" s="4" t="str">
        <x:v>B02</x:v>
      </x:c>
      <x:c r="B50" s="4" t="str">
        <x:v>LAB-Bench / DbQA</x:v>
      </x:c>
      <x:c r="C50" s="4" t="str">
        <x:v>Database-oriented question; resource access must be stated</x:v>
      </x:c>
      <x:c r="D50" s="4" t="str">
        <x:v>Answer or abstention</x:v>
      </x:c>
      <x:c r="E50" s="4" t="str">
        <x:v>Accuracy; selective precision and coverage when abstention is enabled</x:v>
      </x:c>
      <x:c r="F50" s="4" t="str">
        <x:v>Public subset commonly 1,967 questions across eight categories; original full set and private portion differ. Pin dataset revision.</x:v>
      </x:c>
      <x:c r="G50" s="4" t="str">
        <x:v>Original 2024 GPT-4o: 42% accuracy on DbQA_variant_from_sequence only. Other database subtasks have different scores.</x:v>
      </x:c>
      <x:c r="H50" s="4" t="str">
        <x:v>Keep resource access fixed. Original model evaluation was tool-free, unlike human baseline. MCQ success can partly reflect distractor elimination.</x:v>
      </x:c>
      <x:c r="I50" s="4" t="str">
        <x:v>https://arxiv.org/html/2407.10362v1
https://arxiv.org/html/2606.00902v1</x:v>
      </x:c>
      <x:c r="J50" s="4" t="str">
        <x:v>https://huggingface.co/datasets/futurehouse/lab-bench</x:v>
      </x:c>
    </x:row>
    <x:row r="51" ht="56" customHeight="1">
      <x:c r="A51" s="14" t="str">
        <x:v>B03</x:v>
      </x:c>
      <x:c r="B51" s="14" t="str">
        <x:v>LAB-Bench / SuppQA</x:v>
      </x:c>
      <x:c r="C51" s="14" t="str">
        <x:v>Question about supplementary information; supplied/retrieved documents if allowed</x:v>
      </x:c>
      <x:c r="D51" s="14" t="str">
        <x:v>Answer or abstention</x:v>
      </x:c>
      <x:c r="E51" s="14" t="str">
        <x:v>Accuracy; selective precision and coverage when abstention is enabled</x:v>
      </x:c>
      <x:c r="F51" s="14" t="str">
        <x:v>Public subset commonly 1,967 questions across eight categories; original full set and private portion differ. Pin dataset revision.</x:v>
      </x:c>
      <x:c r="G51" s="14" t="str">
        <x:v>Original 2024 GPT-4o: 13% accuracy on SuppQA; averaged over 3 runs, full public + private evaluation.</x:v>
      </x:c>
      <x:c r="H51" s="14" t="str">
        <x:v>Keep resource access fixed. Original model evaluation was tool-free, unlike human baseline. MCQ success can partly reflect distractor elimination.</x:v>
      </x:c>
      <x:c r="I51" s="14" t="str">
        <x:v>https://arxiv.org/html/2407.10362v1
https://arxiv.org/html/2606.00902v1</x:v>
      </x:c>
      <x:c r="J51" s="14" t="str">
        <x:v>https://huggingface.co/datasets/futurehouse/lab-bench</x:v>
      </x:c>
    </x:row>
    <x:row r="52" ht="56" customHeight="1">
      <x:c r="A52" s="4" t="str">
        <x:v>B04</x:v>
      </x:c>
      <x:c r="B52" s="4" t="str">
        <x:v>LAB-Bench / FigQA</x:v>
      </x:c>
      <x:c r="C52" s="4" t="str">
        <x:v>Figure and associated question</x:v>
      </x:c>
      <x:c r="D52" s="4" t="str">
        <x:v>Answer or abstention</x:v>
      </x:c>
      <x:c r="E52" s="4" t="str">
        <x:v>Accuracy; selective precision and coverage when abstention is enabled</x:v>
      </x:c>
      <x:c r="F52" s="4" t="str">
        <x:v>Public subset commonly 1,967 questions across eight categories; original full set and private portion differ. Pin dataset revision.</x:v>
      </x:c>
      <x:c r="G52" s="4" t="str">
        <x:v>Original 2024 GPT-4o: 29% accuracy on FigQA; averaged over 3 runs, full public + private evaluation.</x:v>
      </x:c>
      <x:c r="H52" s="4" t="str">
        <x:v>Keep resource access fixed. Original model evaluation was tool-free, unlike human baseline. MCQ success can partly reflect distractor elimination.</x:v>
      </x:c>
      <x:c r="I52" s="4" t="str">
        <x:v>https://arxiv.org/html/2407.10362v1
https://arxiv.org/html/2606.00902v1</x:v>
      </x:c>
      <x:c r="J52" s="4" t="str">
        <x:v>https://huggingface.co/datasets/futurehouse/lab-bench</x:v>
      </x:c>
    </x:row>
    <x:row r="53" ht="56" customHeight="1">
      <x:c r="A53" s="14" t="str">
        <x:v>B05</x:v>
      </x:c>
      <x:c r="B53" s="14" t="str">
        <x:v>LAB-Bench / TableQA</x:v>
      </x:c>
      <x:c r="C53" s="14" t="str">
        <x:v>Table and question</x:v>
      </x:c>
      <x:c r="D53" s="14" t="str">
        <x:v>Answer or abstention</x:v>
      </x:c>
      <x:c r="E53" s="14" t="str">
        <x:v>Accuracy; selective precision and coverage when abstention is enabled</x:v>
      </x:c>
      <x:c r="F53" s="14" t="str">
        <x:v>Public subset commonly 1,967 questions across eight categories; original full set and private portion differ. Pin dataset revision.</x:v>
      </x:c>
      <x:c r="G53" s="14" t="str">
        <x:v>Original 2024 GPT-4o: 71% accuracy on TableQA; averaged over 3 runs, full public + private evaluation.</x:v>
      </x:c>
      <x:c r="H53" s="14" t="str">
        <x:v>Keep resource access fixed. Original model evaluation was tool-free, unlike human baseline. MCQ success can partly reflect distractor elimination.</x:v>
      </x:c>
      <x:c r="I53" s="14" t="str">
        <x:v>https://arxiv.org/html/2407.10362v1
https://arxiv.org/html/2606.00902v1</x:v>
      </x:c>
      <x:c r="J53" s="14" t="str">
        <x:v>https://huggingface.co/datasets/futurehouse/lab-bench</x:v>
      </x:c>
    </x:row>
    <x:row r="54" ht="56" customHeight="1">
      <x:c r="A54" s="4" t="str">
        <x:v>B06</x:v>
      </x:c>
      <x:c r="B54" s="4" t="str">
        <x:v>LAB-Bench / ProtocolQA</x:v>
      </x:c>
      <x:c r="C54" s="4" t="str">
        <x:v>A procedure-related scenario and question</x:v>
      </x:c>
      <x:c r="D54" s="4" t="str">
        <x:v>Answer or abstention</x:v>
      </x:c>
      <x:c r="E54" s="4" t="str">
        <x:v>Accuracy; selective precision and coverage when abstention is enabled</x:v>
      </x:c>
      <x:c r="F54" s="4" t="str">
        <x:v>Public subset commonly 1,967 questions across eight categories; original full set and private portion differ. Pin dataset revision.</x:v>
      </x:c>
      <x:c r="G54" s="4" t="str">
        <x:v>Original 2024 GPT-4o: 53% accuracy on ProtocolQA; averaged over 3 runs, full public + private evaluation.</x:v>
      </x:c>
      <x:c r="H54" s="4" t="str">
        <x:v>Keep resource access fixed. Original model evaluation was tool-free, unlike human baseline. MCQ success can partly reflect distractor elimination.</x:v>
      </x:c>
      <x:c r="I54" s="4" t="str">
        <x:v>https://arxiv.org/html/2407.10362v1
https://arxiv.org/html/2606.00902v1</x:v>
      </x:c>
      <x:c r="J54" s="4" t="str">
        <x:v>https://huggingface.co/datasets/futurehouse/lab-bench</x:v>
      </x:c>
    </x:row>
    <x:row r="55" ht="56" customHeight="1">
      <x:c r="A55" s="14" t="str">
        <x:v>B07</x:v>
      </x:c>
      <x:c r="B55" s="14" t="str">
        <x:v>LAB-Bench / SeqQA</x:v>
      </x:c>
      <x:c r="C55" s="14" t="str">
        <x:v>Sequence plus a transformation/analysis question</x:v>
      </x:c>
      <x:c r="D55" s="14" t="str">
        <x:v>Answer or abstention</x:v>
      </x:c>
      <x:c r="E55" s="14" t="str">
        <x:v>Accuracy; selective precision and coverage when abstention is enabled</x:v>
      </x:c>
      <x:c r="F55" s="14" t="str">
        <x:v>Public subset commonly 1,967 questions across eight categories; original full set and private portion differ. Pin dataset revision.</x:v>
      </x:c>
      <x:c r="G55" s="14" t="str">
        <x:v>Original 2024 GPT-4o: 29% on GC-percentage and 50% on ORF amino-acid-sequence subtasks.</x:v>
      </x:c>
      <x:c r="H55" s="14" t="str">
        <x:v>Keep resource access fixed. Original model evaluation was tool-free, unlike human baseline. MCQ success can partly reflect distractor elimination.</x:v>
      </x:c>
      <x:c r="I55" s="14" t="str">
        <x:v>https://arxiv.org/html/2407.10362v1
https://arxiv.org/html/2606.00902v1</x:v>
      </x:c>
      <x:c r="J55" s="14" t="str">
        <x:v>https://huggingface.co/datasets/futurehouse/lab-bench</x:v>
      </x:c>
    </x:row>
    <x:row r="56" ht="56" customHeight="1">
      <x:c r="A56" s="4" t="str">
        <x:v>B08</x:v>
      </x:c>
      <x:c r="B56" s="4" t="str">
        <x:v>LAB-Bench / Cloning scenarios</x:v>
      </x:c>
      <x:c r="C56" s="4" t="str">
        <x:v>Scenario and sequence/context information</x:v>
      </x:c>
      <x:c r="D56" s="4" t="str">
        <x:v>Answer or abstention</x:v>
      </x:c>
      <x:c r="E56" s="4" t="str">
        <x:v>Accuracy; selective precision and coverage when abstention is enabled</x:v>
      </x:c>
      <x:c r="F56" s="4" t="str">
        <x:v>Public subset commonly 1,967 questions across eight categories; original full set and private portion differ. Pin dataset revision.</x:v>
      </x:c>
      <x:c r="G56" s="4" t="str">
        <x:v>Original 2024 GPT-4o: 28% accuracy on CloningScenarios; averaged over 3 runs, full public + private evaluation.</x:v>
      </x:c>
      <x:c r="H56" s="4" t="str">
        <x:v>Keep resource access fixed. Original model evaluation was tool-free, unlike human baseline. MCQ success can partly reflect distractor elimination.</x:v>
      </x:c>
      <x:c r="I56" s="4" t="str">
        <x:v>https://arxiv.org/html/2407.10362v1
https://arxiv.org/html/2606.00902v1</x:v>
      </x:c>
      <x:c r="J56" s="4" t="str">
        <x:v>https://huggingface.co/datasets/futurehouse/lab-bench</x:v>
      </x:c>
    </x:row>
    <x:row r="57" ht="56" customHeight="1">
      <x:c r="A57" s="14" t="str">
        <x:v>V01</x:v>
      </x:c>
      <x:c r="B57" s="14" t="str">
        <x:v>VQA-RAD</x:v>
      </x:c>
      <x:c r="C57" s="14" t="str">
        <x:v>Radiology images with questions</x:v>
      </x:c>
      <x:c r="D57" s="14" t="str">
        <x:v>Closed answer or free-form answer</x:v>
      </x:c>
      <x:c r="E57" s="14" t="str">
        <x:v>Closed-question accuracy; open scoring is paper-specific (e.g. token recall in original LLaVA-Med)</x:v>
      </x:c>
      <x:c r="F57" s="14" t="str">
        <x:v>Use task's official train/test split; do not use total corpus size as test size.</x:v>
      </x:c>
      <x:c r="G57" s="14" t="str">
        <x:v>MedVInT-TD: 73.7% open-answer and 86.8% closed-answer accuracy on VQA-RAD after task-specific fine-tuning.</x:v>
      </x:c>
      <x:c r="H57" s="14" t="str">
        <x:v>Medical-image performance does not show use of protein sequence/structure embeddings. Open-answer scorers differ between papers.</x:v>
      </x:c>
      <x:c r="I57" s="14" t="str">
        <x:v>https://arxiv.org/abs/2306.00890
https://arxiv.org/html/2305.10415v6</x:v>
      </x:c>
      <x:c r="J57" s="14" t="str">
        <x:v>https://github.com/microsoft/LLaVA-Med</x:v>
      </x:c>
    </x:row>
    <x:row r="58" ht="56" customHeight="1">
      <x:c r="A58" s="4" t="str">
        <x:v>V02</x:v>
      </x:c>
      <x:c r="B58" s="4" t="str">
        <x:v>SLAKE — English</x:v>
      </x:c>
      <x:c r="C58" s="4" t="str">
        <x:v>Medical images with English questions</x:v>
      </x:c>
      <x:c r="D58" s="4" t="str">
        <x:v>Closed answer or free-form answer</x:v>
      </x:c>
      <x:c r="E58" s="4" t="str">
        <x:v>Closed-question accuracy; open scoring is paper-specific (e.g. token recall in original LLaVA-Med)</x:v>
      </x:c>
      <x:c r="F58" s="4" t="str">
        <x:v>English subset; exact partition and normalization must match the target paper.</x:v>
      </x:c>
      <x:c r="G58" s="4" t="str">
        <x:v>MedVInT-TE: 88.2% open-answer and 87.7% closed-answer accuracy on SLAKE after task-specific fine-tuning.</x:v>
      </x:c>
      <x:c r="H58" s="4" t="str">
        <x:v>Medical-image performance does not show use of protein sequence/structure embeddings. Open-answer scorers differ between papers.</x:v>
      </x:c>
      <x:c r="I58" s="4" t="str">
        <x:v>https://arxiv.org/abs/2306.00890
https://arxiv.org/html/2305.10415v6</x:v>
      </x:c>
      <x:c r="J58" s="4" t="str">
        <x:v>https://github.com/microsoft/LLaVA-Med</x:v>
      </x:c>
    </x:row>
    <x:row r="59" ht="56" customHeight="1">
      <x:c r="A59" s="14" t="str">
        <x:v>V03</x:v>
      </x:c>
      <x:c r="B59" s="14" t="str">
        <x:v>PathVQA</x:v>
      </x:c>
      <x:c r="C59" s="14" t="str">
        <x:v>Pathology images with questions</x:v>
      </x:c>
      <x:c r="D59" s="14" t="str">
        <x:v>Closed answer or free-form answer</x:v>
      </x:c>
      <x:c r="E59" s="14" t="str">
        <x:v>Closed-question accuracy; open scoring is paper-specific (e.g. token recall in original LLaVA-Med)</x:v>
      </x:c>
      <x:c r="F59" s="14" t="str">
        <x:v>Official split; keep closed/open question groups separate.</x:v>
      </x:c>
      <x:c r="G59" s="14" t="str">
        <x:v>LLaVA-Med initialized from Vicuna: PathVQA 38.87 open-answer token recall and 91.65% closed-answer accuracy, after task-specific fine-tuning.</x:v>
      </x:c>
      <x:c r="H59" s="14" t="str">
        <x:v>Medical-image performance does not show use of protein sequence/structure embeddings. Open-answer scorers differ between papers.</x:v>
      </x:c>
      <x:c r="I59" s="14" t="str">
        <x:v>https://arxiv.org/abs/2306.00890</x:v>
      </x:c>
      <x:c r="J59" s="14" t="str">
        <x:v>https://github.com/microsoft/LLaVA-Med</x:v>
      </x:c>
    </x:row>
    <x:row r="60" ht="56" customHeight="1">
      <x:c r="A60" s="4" t="str">
        <x:v>V04</x:v>
      </x:c>
      <x:c r="B60" s="4" t="str">
        <x:v>ImageCLEF-VQA 2019</x:v>
      </x:c>
      <x:c r="C60" s="4" t="str">
        <x:v>Medical images and questions</x:v>
      </x:c>
      <x:c r="D60" s="4" t="str">
        <x:v>Closed answer or free-form answer</x:v>
      </x:c>
      <x:c r="E60" s="4" t="str">
        <x:v>Closed-question accuracy; open scoring is paper-specific (e.g. token recall in original LLaVA-Med)</x:v>
      </x:c>
      <x:c r="F60" s="4" t="str">
        <x:v>The 2019 challenge snapshot, not an arbitrary later VQA-Med release.</x:v>
      </x:c>
      <x:c r="G60" s="4" t="str">
        <x:v>MedVInT-TE: 70.5% overall accuracy on VQA-Med 2019 after task-specific fine-tuning.</x:v>
      </x:c>
      <x:c r="H60" s="4" t="str">
        <x:v>Medical-image performance does not show use of protein sequence/structure embeddings. Open-answer scorers differ between papers.</x:v>
      </x:c>
      <x:c r="I60" s="4" t="str">
        <x:v>https://arxiv.org/html/2305.10415v6</x:v>
      </x:c>
      <x:c r="J60" s="4" t="str">
        <x:v>https://github.com/xiaoman-zhang/PMC-VQA</x:v>
      </x:c>
    </x:row>
    <x:row r="61" ht="56" customHeight="1">
      <x:c r="A61" s="14" t="str">
        <x:v>V05</x:v>
      </x:c>
      <x:c r="B61" s="14" t="str">
        <x:v>PMC-VQA held-out evaluation</x:v>
      </x:c>
      <x:c r="C61" s="14" t="str">
        <x:v>Image, question, and optionally answer choices</x:v>
      </x:c>
      <x:c r="D61" s="14" t="str">
        <x:v>MCQ answer or free-form response</x:v>
      </x:c>
      <x:c r="E61" s="14" t="str">
        <x:v>MCQ accuracy; paper's open/blank-answer accuracy and BLEU</x:v>
      </x:c>
      <x:c r="F61" s="14" t="str">
        <x:v>v6: 50,000 initial image-disjoint test examples; 2,000 manually reviewed clean test examples. Older site names differ.</x:v>
      </x:c>
      <x:c r="G61" s="14" t="str">
        <x:v>The paper reports initial and manually cleaned PMC-VQA tests. A numeric result tied to an exact model and that exact split is not transcribed here.</x:v>
      </x:c>
      <x:c r="H61" s="14" t="str">
        <x:v>Specify initial versus cleaned test set. Caption-derived labels need not be visually answerable without filtering.</x:v>
      </x:c>
      <x:c r="I61" s="14" t="str">
        <x:v>https://arxiv.org/html/2305.10415v6</x:v>
      </x:c>
      <x:c r="J61" s="14" t="str">
        <x:v>https://github.com/xiaoman-zhang/PMC-VQA</x:v>
      </x:c>
    </x:row>
    <x:row r="62" ht="56" customHeight="1">
      <x:c r="A62" s="4" t="str">
        <x:v>V06</x:v>
      </x:c>
      <x:c r="B62" s="4" t="str">
        <x:v>LLaVA-Med visual conversation</x:v>
      </x:c>
      <x:c r="C62" s="4" t="str">
        <x:v>Biomedical image and conversational questions</x:v>
      </x:c>
      <x:c r="D62" s="4" t="str">
        <x:v>Free-form response</x:v>
      </x:c>
      <x:c r="E62" s="4" t="str">
        <x:v>GPT-assisted relative response assessment</x:v>
      </x:c>
      <x:c r="F62" s="4" t="str">
        <x:v>Released qa50 evaluation files; 50-image setting. Use original/v1.5 code and model version consistently.</x:v>
      </x:c>
      <x:c r="G62" s="4" t="str">
        <x:v>GPT-assisted relative answer-quality comparisons are reported. A verified single aggregate for the specified qa50 setting is not transcribed here.</x:v>
      </x:c>
      <x:c r="H62" s="4" t="str">
        <x:v>Teacher reference has textual context that the image may not reveal. Judgment is not direct clinician-verified molecular truth.</x:v>
      </x:c>
      <x:c r="I62" s="4" t="str">
        <x:v>https://arxiv.org/abs/2306.00890</x:v>
      </x:c>
      <x:c r="J62" s="4" t="str">
        <x:v>https://github.com/microsoft/LLaVA-Med</x:v>
      </x:c>
    </x:row>
    <x:row r="63" ht="42" customHeight="1">
      <x:c r="A63" s="14" t="str">
        <x:v>V07</x:v>
      </x:c>
      <x:c r="B63" s="14" t="str">
        <x:v>Ryze extraction component tests</x:v>
      </x:c>
      <x:c r="C63" s="14" t="str">
        <x:v>Document/chart/slide and question</x:v>
      </x:c>
      <x:c r="D63" s="14" t="str">
        <x:v>Answer based on extracted information</x:v>
      </x:c>
      <x:c r="E63" s="14" t="str">
        <x:v>Dataset-specific QA accuracy</x:v>
      </x:c>
      <x:c r="F63" s="14" t="str">
        <x:v>Auxiliary component evaluation, separate from final LAB-Bench scores.</x:v>
      </x:c>
      <x:c r="G63" s="14" t="str">
        <x:v>Ryze extraction-component accuracy: ArXivQA 73.12%, SlideVQA 66.48%, ChartQA 75.8%.</x:v>
      </x:c>
      <x:c r="H63" s="14" t="str">
        <x:v>These tests evaluate extraction/document understanding, not protein engineering.</x:v>
      </x:c>
      <x:c r="I63" s="14" t="str">
        <x:v>https://arxiv.org/html/2606.00902v1</x:v>
      </x:c>
      <x:c r="J63" s="14" t="str">
        <x:v>https://github.com/Chivier/Ryze</x:v>
      </x:c>
    </x:row>
    <x:row r="64" ht="42" customHeight="1">
      <x:c r="A64" s="4" t="str">
        <x:v>N01</x:v>
      </x:c>
      <x:c r="B64" s="4" t="str">
        <x:v>BioReason KEGG pathway/disease test</x:v>
      </x:c>
      <x:c r="C64" s="4" t="str">
        <x:v>Reference/variant DNA and pathway context</x:v>
      </x:c>
      <x:c r="D64" s="4" t="str">
        <x:v>Disease answer</x:v>
      </x:c>
      <x:c r="E64" s="4" t="str">
        <x:v>Accuracy; macro-F1/precision/recall</x:v>
      </x:c>
      <x:c r="F64" s="4" t="str">
        <x:v>290 test entries in main table; 1,449 overall entries across splits.</x:v>
      </x:c>
      <x:c r="G64" s="4" t="str">
        <x:v>Evo2 + Qwen3-4B + GRPO: 98.28% accuracy, 93.05 macro-F1; Qwen3-4B-only: 90.00% accuracy, 79.66 macro-F1.</x:v>
      </x:c>
      <x:c r="H64" s="4" t="str">
        <x:v>Correct final disease labels do not verify every generated mechanistic statement.</x:v>
      </x:c>
      <x:c r="I64" s="4" t="str">
        <x:v>https://arxiv.org/html/2505.23579v2</x:v>
      </x:c>
      <x:c r="J64" s="4" t="str">
        <x:v>https://huggingface.co/datasets/wanglab/kegg</x:v>
      </x:c>
    </x:row>
    <x:row r="65" ht="42" customHeight="1">
      <x:c r="A65" s="14" t="str">
        <x:v>N02</x:v>
      </x:c>
      <x:c r="B65" s="14" t="str">
        <x:v>BioReason VEP-Coding</x:v>
      </x:c>
      <x:c r="C65" s="14" t="str">
        <x:v>Reference/variant DNA and prompt</x:v>
      </x:c>
      <x:c r="D65" s="14" t="str">
        <x:v>Pathogenic/benign label</x:v>
      </x:c>
      <x:c r="E65" s="14" t="str">
        <x:v>Accuracy; F1</x:v>
      </x:c>
      <x:c r="F65" s="14" t="str">
        <x:v>Main reported test approximately 1.23K; chromosome 8 held out.</x:v>
      </x:c>
      <x:c r="G65" s="14" t="str">
        <x:v>Evo2 + Qwen3-4B: 80.21% accuracy, 80.00 F1; Evo2-only: 70.07% accuracy, 49.19 F1.</x:v>
      </x:c>
      <x:c r="H65" s="14" t="str">
        <x:v>Genomics task, not Affibody binding; annotation confidence and splitting matter.</x:v>
      </x:c>
      <x:c r="I65" s="14" t="str">
        <x:v>https://arxiv.org/html/2505.23579v2</x:v>
      </x:c>
      <x:c r="J65" s="14" t="str">
        <x:v>https://github.com/bowang-lab/BioReason</x:v>
      </x:c>
    </x:row>
    <x:row r="66" ht="42" customHeight="1">
      <x:c r="A66" s="4" t="str">
        <x:v>N03</x:v>
      </x:c>
      <x:c r="B66" s="4" t="str">
        <x:v>BioReason VEP-Non-SNV</x:v>
      </x:c>
      <x:c r="C66" s="4" t="str">
        <x:v>Variant representation/context</x:v>
      </x:c>
      <x:c r="D66" s="4" t="str">
        <x:v>Binary class</x:v>
      </x:c>
      <x:c r="E66" s="4" t="str">
        <x:v>Accuracy; F1</x:v>
      </x:c>
      <x:c r="F66" s="4" t="str">
        <x:v>873 test examples in the main report.</x:v>
      </x:c>
      <x:c r="G66" s="4" t="str">
        <x:v>Evo2 + Qwen3-4B: 83.85% accuracy, 85.02 F1; Evo2-only: 76.17% accuracy, 66.51 F1.</x:v>
      </x:c>
      <x:c r="H66" s="4" t="str">
        <x:v>Non-SNV classification should not be merged with single-amino-acid design accuracy.</x:v>
      </x:c>
      <x:c r="I66" s="4" t="str">
        <x:v>https://arxiv.org/html/2505.23579v2</x:v>
      </x:c>
      <x:c r="J66" s="4" t="str">
        <x:v>https://github.com/bowang-lab/BioReason</x:v>
      </x:c>
    </x:row>
    <x:row r="67" ht="56" customHeight="1">
      <x:c r="A67" s="14" t="str">
        <x:v>N04</x:v>
      </x:c>
      <x:c r="B67" s="14" t="str">
        <x:v>Bio-posttrain KEGG network holdout</x:v>
      </x:c>
      <x:c r="C67" s="14" t="str">
        <x:v>DNA representations and pathway context</x:v>
      </x:c>
      <x:c r="D67" s="14" t="str">
        <x:v>Disease answer</x:v>
      </x:c>
      <x:c r="E67" s="14" t="str">
        <x:v>Accuracy</x:v>
      </x:c>
      <x:c r="F67" s="14" t="str">
        <x:v>Adapted KEGG split by pathway networks; not automatically BioReason's original 290-example test.</x:v>
      </x:c>
      <x:c r="G67" s="14" t="str">
        <x:v>Qwen3-4B DNA OOD accuracy: SFT 0.753; SFT+RL 0.917; biology-CPT+SFT+RL 0.970.</x:v>
      </x:c>
      <x:c r="H67" s="14" t="str">
        <x:v>Pin the adapted split and preprocessing.</x:v>
      </x:c>
      <x:c r="I67" s="14" t="str">
        <x:v>https://arxiv.org/html/2606.16517v1</x:v>
      </x:c>
      <x:c r="J67" s="14" t="str">
        <x:v>https://github.com/mims-harvard/bio-posttrain</x:v>
      </x:c>
    </x:row>
    <x:row r="68" ht="56" customHeight="1">
      <x:c r="A68" s="4" t="str">
        <x:v>N05</x:v>
      </x:c>
      <x:c r="B68" s="4" t="str">
        <x:v>Bio-posttrain MEDEA target selection</x:v>
      </x:c>
      <x:c r="C68" s="4" t="str">
        <x:v>Candidate genes, expression representations, disease and cell context</x:v>
      </x:c>
      <x:c r="D68" s="4" t="str">
        <x:v>One selected gene</x:v>
      </x:c>
      <x:c r="E68" s="4" t="str">
        <x:v>Normalized gene-answer accuracy</x:v>
      </x:c>
      <x:c r="F68" s="4" t="str">
        <x:v>Held-out disease: hepatoblastoma; additional cell-type analyses reported.</x:v>
      </x:c>
      <x:c r="G68" s="4" t="str">
        <x:v>The paper reports RNA target-selection ID/OOD experiments. An exact numeric result is not transcribed in this table.</x:v>
      </x:c>
      <x:c r="H68" s="4" t="str">
        <x:v>Fixed-input target nomination is not the original full agent workflow or clinical validation.</x:v>
      </x:c>
      <x:c r="I68" s="4" t="str">
        <x:v>https://arxiv.org/html/2606.16517v1</x:v>
      </x:c>
      <x:c r="J68" s="4" t="str">
        <x:v>https://github.com/mims-harvard/bio-posttrain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fb19886ece3f4da7"/>
  </x:tableParts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6" hidden="0" customWidth="1"/>
    <x:col min="2" max="2" width="25" hidden="0" customWidth="1"/>
    <x:col min="3" max="3" width="73" hidden="0" customWidth="1"/>
    <x:col min="4" max="4" width="48" hidden="0" customWidth="1"/>
  </x:cols>
  <x:sheetData>
    <x:row r="1" ht="38" customHeight="1">
      <x:c r="A1" s="10" t="str">
        <x:v>OFFICIAL PAPERS, DATA AND CODE ENTRY POINTS</x:v>
      </x:c>
      <x:c r="B1" s="10"/>
      <x:c r="C1" s="10"/>
      <x:c r="D1" s="10"/>
    </x:row>
    <x:row r="2" ht="36" customHeight="1">
      <x:c r="A2" s="16" t="str">
        <x:v>Links are an index, not downloaded benchmark files. Licensing, authentication, version pinning and retained counts must be checked by the execution agent.</x:v>
      </x:c>
      <x:c r="B2" s="16"/>
      <x:c r="C2" s="16"/>
      <x:c r="D2" s="16"/>
    </x:row>
    <x:row r="3" ht="10" customHeight="1">
      <x:c r="A3" s="4"/>
      <x:c r="B3" s="4"/>
      <x:c r="C3" s="4"/>
      <x:c r="D3" s="4"/>
    </x:row>
    <x:row r="4" ht="36" customHeight="1">
      <x:c r="A4" s="28" t="str">
        <x:v>URL</x:v>
      </x:c>
      <x:c r="B4" s="28" t="str">
        <x:v>Role</x:v>
      </x:c>
      <x:c r="C4" s="28" t="str">
        <x:v>Used by</x:v>
      </x:c>
      <x:c r="D4" s="28" t="str">
        <x:v>Provenance</x:v>
      </x:c>
    </x:row>
    <x:row r="5" ht="40" customHeight="1">
      <x:c r="A5" s="14" t="str">
        <x:v>https://arxiv.org/abs/1909.06146</x:v>
      </x:c>
      <x:c r="B5" s="14" t="str">
        <x:v>Primary report</x:v>
      </x:c>
      <x:c r="C5" s="14" t="str">
        <x:v>PubMedQA research-abstract questions</x:v>
      </x:c>
      <x:c r="D5" s="14" t="str">
        <x:v>New primary-source review</x:v>
      </x:c>
    </x:row>
    <x:row r="6" ht="42" customHeight="1">
      <x:c r="A6" s="4" t="str">
        <x:v>https://arxiv.org/abs/2306.00890</x:v>
      </x:c>
      <x:c r="B6" s="4" t="str">
        <x:v>Primary report</x:v>
      </x:c>
      <x:c r="C6" s="4" t="str">
        <x:v>Biomedical VQA: VQA-RAD / SLAKE-English / PathVQA / VQA-Med 2019
LLaVA-Med biomedical visual conversations</x:v>
      </x:c>
      <x:c r="D6" s="4" t="str">
        <x:v>Original 64-setting catalog; published scores carried forward</x:v>
      </x:c>
    </x:row>
    <x:row r="7" ht="126" customHeight="1">
      <x:c r="A7" s="14" t="str">
        <x:v>https://arxiv.org/html/2012.04035v3</x:v>
      </x:c>
      <x:c r="B7" s="14" t="str">
        <x:v>Primary report</x:v>
      </x:c>
      <x:c r="C7" s="14" t="str">
        <x:v>ATOM3D RNA structure ranking (RSR)
ATOM3D SKEMPI-derived mutation affinity (MSP)
ATOM3D interface contacts (PIP)
ATOM3D ligand efficacy (LEP)
ATOM3D protein structure ranking (PSR)
ATOM3D protein–ligand affinity (LBA)
ATOM3D residue identity from local structure (RES)
ATOM3D small-molecule properties (SMP / QM9)</x:v>
      </x:c>
      <x:c r="D7" s="14" t="str">
        <x:v>New primary-source review</x:v>
      </x:c>
    </x:row>
    <x:row r="8" ht="98" customHeight="1">
      <x:c r="A8" s="4" t="str">
        <x:v>https://arxiv.org/html/2206.02096v2</x:v>
      </x:c>
      <x:c r="B8" s="4" t="str">
        <x:v>Primary report</x:v>
      </x:c>
      <x:c r="C8" s="4" t="str">
        <x:v>DeepLoc — binary and 10-compartment localization
DeepSol solubility — PEER split
Envision β-lactamase — PEER split
Human/Pan and yeast/Guo PPI — PEER
TAPE / Rocklin stability
TAPE GFP / Sarkisyan fluorescence</x:v>
      </x:c>
      <x:c r="D8" s="4" t="str">
        <x:v>Carried forward from 14 Oct 2026 source-linked workbook; not independently rerun</x:v>
      </x:c>
    </x:row>
    <x:row r="9" ht="42" customHeight="1">
      <x:c r="A9" s="14" t="str">
        <x:v>https://arxiv.org/html/2305.10415v6</x:v>
      </x:c>
      <x:c r="B9" s="14" t="str">
        <x:v>Primary report</x:v>
      </x:c>
      <x:c r="C9" s="14" t="str">
        <x:v>Biomedical VQA: VQA-RAD / SLAKE-English / PathVQA / VQA-Med 2019
PMC-VQA figure question answering</x:v>
      </x:c>
      <x:c r="D9" s="14" t="str">
        <x:v>Original 64-setting catalog; published scores carried forward</x:v>
      </x:c>
    </x:row>
    <x:row r="10" ht="42" customHeight="1">
      <x:c r="A10" s="4" t="str">
        <x:v>https://arxiv.org/html/2306.08018v4</x:v>
      </x:c>
      <x:c r="B10" s="4" t="str">
        <x:v>Primary report</x:v>
      </x:c>
      <x:c r="C10" s="4" t="str">
        <x:v>Mol-Instructions — four protein-description subsets</x:v>
      </x:c>
      <x:c r="D10" s="4" t="str">
        <x:v>Carried forward from 14 Oct 2026 source-linked workbook; not independently rerun</x:v>
      </x:c>
    </x:row>
    <x:row r="11" ht="98" customHeight="1">
      <x:c r="A11" s="14" t="str">
        <x:v>https://arxiv.org/html/2402.17810v2</x:v>
      </x:c>
      <x:c r="B11" s="14" t="str">
        <x:v>Primary report</x:v>
      </x:c>
      <x:c r="C11" s="14" t="str">
        <x:v>BioT5+ description-guided protein generation
DeepLoc — binary and 10-compartment localization
DeepSol solubility — PEER split
Drug–target interaction: BioSNAP / Human / BindingDB
Human/Pan and yeast/Guo PPI — PEER
Mol-Instructions — four protein-description subsets</x:v>
      </x:c>
      <x:c r="D11" s="14" t="str">
        <x:v>Carried forward from 14 Oct 2026 source-linked workbook; not independently rerun
Original 64-setting catalog; published scores carried forward</x:v>
      </x:c>
    </x:row>
    <x:row r="12" ht="40" customHeight="1">
      <x:c r="A12" s="4" t="str">
        <x:v>https://arxiv.org/html/2406.05540v1</x:v>
      </x:c>
      <x:c r="B12" s="4" t="str">
        <x:v>Primary report</x:v>
      </x:c>
      <x:c r="C12" s="4" t="str">
        <x:v>ProteinLMBench protein-understanding questions</x:v>
      </x:c>
      <x:c r="D12" s="4" t="str">
        <x:v>New primary-source review</x:v>
      </x:c>
    </x:row>
    <x:row r="13" ht="42" customHeight="1">
      <x:c r="A13" s="14" t="str">
        <x:v>https://arxiv.org/html/2407.10362v1</x:v>
      </x:c>
      <x:c r="B13" s="14" t="str">
        <x:v>Primary report</x:v>
      </x:c>
      <x:c r="C13" s="14" t="str">
        <x:v>LAB-Bench — research tasks</x:v>
      </x:c>
      <x:c r="D13" s="14" t="str">
        <x:v>Carried forward from 14 Oct 2026 source-linked workbook; not independently rerun</x:v>
      </x:c>
    </x:row>
    <x:row r="14" ht="140" customHeight="1">
      <x:c r="A14" s="4" t="str">
        <x:v>https://arxiv.org/html/2409.06744v2</x:v>
      </x:c>
      <x:c r="B14" s="4" t="str">
        <x:v>Primary report</x:v>
      </x:c>
      <x:c r="C14" s="4" t="str">
        <x:v>ProteinBench antibody design — processed RAbD
ProteinBench ensemble distribution — ATLAS
ProteinBench inverse folding — CASP15 / CAMEO / synthetic backbones
ProteinBench joint sequence–structure generation
ProteinBench motif scaffolding — legacy motif panel
ProteinBench multistate conformations — apo/holo and BPTI
ProteinBench single-state folding — CAMEO 2022
ProteinBench unconditional backbone generation
ProteinBench unconditional sequence generation</x:v>
      </x:c>
      <x:c r="D14" s="4" t="str">
        <x:v>New primary-source review</x:v>
      </x:c>
    </x:row>
    <x:row r="15" ht="70" customHeight="1">
      <x:c r="A15" s="14" t="str">
        <x:v>https://arxiv.org/html/2410.22949v1</x:v>
      </x:c>
      <x:c r="B15" s="14" t="str">
        <x:v>Primary report</x:v>
      </x:c>
      <x:c r="C15" s="14" t="str">
        <x:v>MutaDescribe — mutation engineering
MutaDescribe — mutation explanation
MutaPLM iterative optimization
MutaPLM low-data fitness regression</x:v>
      </x:c>
      <x:c r="D15" s="14" t="str">
        <x:v>Carried forward from 14 Oct 2026 source-linked workbook; not independently rerun
Original 64-setting catalog; published scores carried forward</x:v>
      </x:c>
    </x:row>
    <x:row r="16" ht="70" customHeight="1">
      <x:c r="A16" s="4" t="str">
        <x:v>https://arxiv.org/html/2502.07527v3</x:v>
      </x:c>
      <x:c r="B16" s="4" t="str">
        <x:v>Primary report</x:v>
      </x:c>
      <x:c r="C16" s="4" t="str">
        <x:v>NatureLM generated proteins: unconditional / property-conditioned / heme
NatureLM's NCBI protein-description holdout
NatureLM/PEER binarized stability — paper-specific protocol</x:v>
      </x:c>
      <x:c r="D16" s="4" t="str">
        <x:v>Carried forward from 14 Oct 2026 source-linked workbook; not independently rerun
Original 64-setting catalog; published scores carried forward</x:v>
      </x:c>
    </x:row>
    <x:row r="17" ht="42" customHeight="1">
      <x:c r="A17" s="14" t="str">
        <x:v>https://arxiv.org/html/2505.23579v2</x:v>
      </x:c>
      <x:c r="B17" s="14" t="str">
        <x:v>Primary report</x:v>
      </x:c>
      <x:c r="C17" s="14" t="str">
        <x:v>BioReason KEGG pathway/disease
BioReason VEP coding and non-SNV</x:v>
      </x:c>
      <x:c r="D17" s="14" t="str">
        <x:v>Original 64-setting catalog; published scores carried forward</x:v>
      </x:c>
    </x:row>
    <x:row r="18" ht="40" customHeight="1">
      <x:c r="A18" s="4" t="str">
        <x:v>https://arxiv.org/html/2506.04235v1</x:v>
      </x:c>
      <x:c r="B18" s="4" t="str">
        <x:v>Primary report</x:v>
      </x:c>
      <x:c r="C18" s="4" t="str">
        <x:v>AbBiBench antibody affinity ranking</x:v>
      </x:c>
      <x:c r="D18" s="4" t="str">
        <x:v>New primary-source review</x:v>
      </x:c>
    </x:row>
    <x:row r="19" ht="154" customHeight="1">
      <x:c r="A19" s="14" t="str">
        <x:v>https://arxiv.org/html/2506.14796v1</x:v>
      </x:c>
      <x:c r="B19" s="14" t="str">
        <x:v>Primary report</x:v>
      </x:c>
      <x:c r="C19" s="14" t="str">
        <x:v>PFMBench GO/EC annotation panel
PFMBench PDBbind / BindingDB affinity panel
PFMBench ProteinGym zero-shot protocol
PFMBench localization and sorting-signal panel
PFMBench mutation/fitness panel
PFMBench peptide–MHC and TCR–pMHC panel
PFMBench production and enzyme-operating panel
PFMBench protein and metal-interaction panel
PFMBench solubility panel
PFMBench structure-derived prediction panel</x:v>
      </x:c>
      <x:c r="D19" s="14" t="str">
        <x:v>New primary-source review</x:v>
      </x:c>
    </x:row>
    <x:row r="20" ht="42" customHeight="1">
      <x:c r="A20" s="4" t="str">
        <x:v>https://arxiv.org/html/2603.03573v1</x:v>
      </x:c>
      <x:c r="B20" s="4" t="str">
        <x:v>Primary report</x:v>
      </x:c>
      <x:c r="C20" s="4" t="str">
        <x:v>STRIDE GFP sequence optimization</x:v>
      </x:c>
      <x:c r="D20" s="4" t="str">
        <x:v>Original 64-setting catalog; published scores carried forward</x:v>
      </x:c>
    </x:row>
    <x:row r="21" ht="40" customHeight="1">
      <x:c r="A21" s="14" t="str">
        <x:v>https://arxiv.org/html/2603.13431v1</x:v>
      </x:c>
      <x:c r="B21" s="14" t="str">
        <x:v>Primary report</x:v>
      </x:c>
      <x:c r="C21" s="14" t="str">
        <x:v>CHIMERA-Bench epitope-conditioned antibody design</x:v>
      </x:c>
      <x:c r="D21" s="14" t="str">
        <x:v>New primary-source review</x:v>
      </x:c>
    </x:row>
    <x:row r="22" ht="70" customHeight="1">
      <x:c r="A22" s="4" t="str">
        <x:v>https://arxiv.org/html/2605.02937v1</x:v>
      </x:c>
      <x:c r="B22" s="4" t="str">
        <x:v>Data / implementation
Primary report</x:v>
      </x:c>
      <x:c r="C22" s="4" t="str">
        <x:v>Proteo-R1 internal alignment / structural / CDR diagnostics
RAbD — CDR-H3 redesign
SAbDab — Proteo-R1 all-CDR holdout</x:v>
      </x:c>
      <x:c r="D22" s="4" t="str">
        <x:v>Carried forward and downgraded to diagnostic appendix as requested
Carried forward from 14 Oct 2026 source-linked workbook; not independently rerun</x:v>
      </x:c>
    </x:row>
    <x:row r="23" ht="42" customHeight="1">
      <x:c r="A23" s="14" t="str">
        <x:v>https://arxiv.org/html/2605.04118v1</x:v>
      </x:c>
      <x:c r="B23" s="14" t="str">
        <x:v>Data / implementation
Primary report</x:v>
      </x:c>
      <x:c r="C23" s="14" t="str">
        <x:v>ProtDBench de novo target-binder design</x:v>
      </x:c>
      <x:c r="D23" s="14" t="str">
        <x:v>New primary-source review</x:v>
      </x:c>
    </x:row>
    <x:row r="24" ht="42" customHeight="1">
      <x:c r="A24" s="4" t="str">
        <x:v>https://arxiv.org/html/2606.00902v1</x:v>
      </x:c>
      <x:c r="B24" s="4" t="str">
        <x:v>Primary report</x:v>
      </x:c>
      <x:c r="C24" s="4" t="str">
        <x:v>Ryze document-extraction component tests</x:v>
      </x:c>
      <x:c r="D24" s="4" t="str">
        <x:v>Original 64-setting catalog; published scores carried forward</x:v>
      </x:c>
    </x:row>
    <x:row r="25" ht="56" customHeight="1">
      <x:c r="A25" s="14" t="str">
        <x:v>https://arxiv.org/html/2606.16517v1</x:v>
      </x:c>
      <x:c r="B25" s="14" t="str">
        <x:v>Primary report</x:v>
      </x:c>
      <x:c r="C25" s="14" t="str">
        <x:v>Bio-posttrain KEGG unseen-network holdout
Bio-posttrain MEDEA expression-conditioned gene selection
Bio-posttrain species-held-out protein GO</x:v>
      </x:c>
      <x:c r="D25" s="14" t="str">
        <x:v>Original 64-setting catalog; published scores carried forward</x:v>
      </x:c>
    </x:row>
    <x:row r="26" ht="42" customHeight="1">
      <x:c r="A26" s="4" t="str">
        <x:v>https://arxiv.org/html/2609.28921v1</x:v>
      </x:c>
      <x:c r="B26" s="4" t="str">
        <x:v>Data / implementation
Primary report</x:v>
      </x:c>
      <x:c r="C26" s="4" t="str">
        <x:v>PFArena — four task settings</x:v>
      </x:c>
      <x:c r="D26" s="4" t="str">
        <x:v>Carried forward from 14 Oct 2026 source-linked workbook; not independently rerun</x:v>
      </x:c>
    </x:row>
    <x:row r="27" ht="40" customHeight="1">
      <x:c r="A27" s="14" t="str">
        <x:v>https://arxiv.org/html/2610.13917v1</x:v>
      </x:c>
      <x:c r="B27" s="14" t="str">
        <x:v>Primary report</x:v>
      </x:c>
      <x:c r="C27" s="14" t="str">
        <x:v>Prompteina text-conditioned protein design — GM2A campaign</x:v>
      </x:c>
      <x:c r="D27" s="14" t="str">
        <x:v>New primary-source review</x:v>
      </x:c>
    </x:row>
    <x:row r="28" ht="42" customHeight="1">
      <x:c r="A28" s="4" t="str">
        <x:v>https://github.com/Chivier/Ryze</x:v>
      </x:c>
      <x:c r="B28" s="4" t="str">
        <x:v>Data / implementation</x:v>
      </x:c>
      <x:c r="C28" s="4" t="str">
        <x:v>Ryze document-extraction component tests</x:v>
      </x:c>
      <x:c r="D28" s="4" t="str">
        <x:v>Original 64-setting catalog; published scores carried forward</x:v>
      </x:c>
    </x:row>
    <x:row r="29" ht="70" customHeight="1">
      <x:c r="A29" s="14" t="str">
        <x:v>https://github.com/DeepGraphLearning/PEER_Benchmark</x:v>
      </x:c>
      <x:c r="B29" s="14" t="str">
        <x:v>Data / implementation</x:v>
      </x:c>
      <x:c r="C29" s="14" t="str">
        <x:v>DeepLoc — binary and 10-compartment localization
DeepSol solubility — PEER split
Envision β-lactamase — PEER split
Human/Pan and yeast/Guo PPI — PEER</x:v>
      </x:c>
      <x:c r="D29" s="14" t="str">
        <x:v>Carried forward from 14 Oct 2026 source-linked workbook; not independently rerun</x:v>
      </x:c>
    </x:row>
    <x:row r="30" ht="70" customHeight="1">
      <x:c r="A30" s="4" t="str">
        <x:v>https://github.com/DeepGraphLearning/ProtST</x:v>
      </x:c>
      <x:c r="B30" s="4" t="str">
        <x:v>Data / implementation</x:v>
      </x:c>
      <x:c r="C30" s="4" t="str">
        <x:v>DeepFRI-derived EC and GO test splits
DeepLoc — binary and 10-compartment localization
ProtST reaction classification — zero/few-shot
ProtST text-to-protein retrieval examples</x:v>
      </x:c>
      <x:c r="D30" s="4" t="str">
        <x:v>Carried forward from 14 Oct 2026 source-linked workbook; not independently rerun
Original 64-setting catalog; published scores carried forward</x:v>
      </x:c>
    </x:row>
    <x:row r="31" ht="42" customHeight="1">
      <x:c r="A31" s="14" t="str">
        <x:v>https://github.com/Graylab/FLAb</x:v>
      </x:c>
      <x:c r="B31" s="14" t="str">
        <x:v>Data / implementation
Primary report</x:v>
      </x:c>
      <x:c r="C31" s="14" t="str">
        <x:v>FLAb / FLAb2 antibody property collection</x:v>
      </x:c>
      <x:c r="D31" s="14" t="str">
        <x:v>New primary-source review</x:v>
      </x:c>
    </x:row>
    <x:row r="32" ht="42" customHeight="1">
      <x:c r="A32" s="4" t="str">
        <x:v>https://github.com/J-SNACKKB/FLIP</x:v>
      </x:c>
      <x:c r="B32" s="4" t="str">
        <x:v>Data / implementation
Primary report</x:v>
      </x:c>
      <x:c r="C32" s="4" t="str">
        <x:v>FLIP — AAV and Meltome</x:v>
      </x:c>
      <x:c r="D32" s="4" t="str">
        <x:v>Carried forward from 14 Oct 2026 source-linked workbook; not independently rerun</x:v>
      </x:c>
    </x:row>
    <x:row r="33" ht="40" customHeight="1">
      <x:c r="A33" s="14" t="str">
        <x:v>https://github.com/MSBMI-SAFE/AbBiBench</x:v>
      </x:c>
      <x:c r="B33" s="14" t="str">
        <x:v>Primary report</x:v>
      </x:c>
      <x:c r="C33" s="14" t="str">
        <x:v>AbBiBench antibody affinity ranking</x:v>
      </x:c>
      <x:c r="D33" s="14" t="str">
        <x:v>New primary-source review</x:v>
      </x:c>
    </x:row>
    <x:row r="34" ht="42" customHeight="1">
      <x:c r="A34" s="4" t="str">
        <x:v>https://github.com/OATML-Markslab/ProteinGym</x:v>
      </x:c>
      <x:c r="B34" s="4" t="str">
        <x:v>Data / implementation
Primary report</x:v>
      </x:c>
      <x:c r="C34" s="4" t="str">
        <x:v>ProteinGym substitutions — historical ProtST evaluation</x:v>
      </x:c>
      <x:c r="D34" s="4" t="str">
        <x:v>Carried forward from 14 Oct 2026 source-linked workbook; not independently rerun</x:v>
      </x:c>
    </x:row>
    <x:row r="35" ht="42" customHeight="1">
      <x:c r="A35" s="14" t="str">
        <x:v>https://github.com/PharMolix/MutaPLM</x:v>
      </x:c>
      <x:c r="B35" s="14" t="str">
        <x:v>Data / implementation</x:v>
      </x:c>
      <x:c r="C35" s="14" t="str">
        <x:v>MutaPLM iterative optimization
MutaPLM low-data fitness regression</x:v>
      </x:c>
      <x:c r="D35" s="14" t="str">
        <x:v>Original 64-setting catalog; published scores carried forward</x:v>
      </x:c>
    </x:row>
    <x:row r="36" ht="42" customHeight="1">
      <x:c r="A36" s="4" t="str">
        <x:v>https://github.com/QizhiPei/BioT5</x:v>
      </x:c>
      <x:c r="B36" s="4" t="str">
        <x:v>Data / implementation</x:v>
      </x:c>
      <x:c r="C36" s="4" t="str">
        <x:v>BioT5+ description-guided protein generation
Drug–target interaction: BioSNAP / Human / BindingDB</x:v>
      </x:c>
      <x:c r="D36" s="4" t="str">
        <x:v>Original 64-setting catalog; published scores carried forward</x:v>
      </x:c>
    </x:row>
    <x:row r="37" ht="42" customHeight="1">
      <x:c r="A37" s="14" t="str">
        <x:v>https://github.com/a4bio/pifold</x:v>
      </x:c>
      <x:c r="B37" s="14" t="str">
        <x:v>Data / implementation
Primary report</x:v>
      </x:c>
      <x:c r="C37" s="14" t="str">
        <x:v>CATH 4.2 / TS50 / TS500 inverse folding</x:v>
      </x:c>
      <x:c r="D37" s="14" t="str">
        <x:v>New primary-source review</x:v>
      </x:c>
    </x:row>
    <x:row r="38" ht="154" customHeight="1">
      <x:c r="A38" s="4" t="str">
        <x:v>https://github.com/biomap-research/PFMBench</x:v>
      </x:c>
      <x:c r="B38" s="4" t="str">
        <x:v>Data / implementation</x:v>
      </x:c>
      <x:c r="C38" s="4" t="str">
        <x:v>PFMBench GO/EC annotation panel
PFMBench PDBbind / BindingDB affinity panel
PFMBench ProteinGym zero-shot protocol
PFMBench localization and sorting-signal panel
PFMBench mutation/fitness panel
PFMBench peptide–MHC and TCR–pMHC panel
PFMBench production and enzyme-operating panel
PFMBench protein and metal-interaction panel
PFMBench solubility panel
PFMBench structure-derived prediction panel</x:v>
      </x:c>
      <x:c r="D38" s="4" t="str">
        <x:v>New primary-source review</x:v>
      </x:c>
    </x:row>
    <x:row r="39" ht="42" customHeight="1">
      <x:c r="A39" s="14" t="str">
        <x:v>https://github.com/blt2114/MotifBench</x:v>
      </x:c>
      <x:c r="B39" s="14" t="str">
        <x:v>Data / implementation
Primary report</x:v>
      </x:c>
      <x:c r="C39" s="14" t="str">
        <x:v>MotifBench functional-motif scaffolding</x:v>
      </x:c>
      <x:c r="D39" s="14" t="str">
        <x:v>New primary-source review</x:v>
      </x:c>
    </x:row>
    <x:row r="40" ht="42" customHeight="1">
      <x:c r="A40" s="4" t="str">
        <x:v>https://github.com/bowang-lab/BioReason</x:v>
      </x:c>
      <x:c r="B40" s="4" t="str">
        <x:v>Data / implementation</x:v>
      </x:c>
      <x:c r="C40" s="4" t="str">
        <x:v>BioReason VEP coding and non-SNV</x:v>
      </x:c>
      <x:c r="D40" s="4" t="str">
        <x:v>Original 64-setting catalog; published scores carried forward</x:v>
      </x:c>
    </x:row>
    <x:row r="41" ht="42" customHeight="1">
      <x:c r="A41" s="14" t="str">
        <x:v>https://github.com/bowang-lab/BioReason-Pro</x:v>
      </x:c>
      <x:c r="B41" s="14" t="str">
        <x:v>Data / implementation</x:v>
      </x:c>
      <x:c r="C41" s="14" t="str">
        <x:v>BioReason-Pro explanation review</x:v>
      </x:c>
      <x:c r="D41" s="14" t="str">
        <x:v>Original 64-setting catalog; published scores carried forward</x:v>
      </x:c>
    </x:row>
    <x:row r="42" ht="42" customHeight="1">
      <x:c r="A42" s="4" t="str">
        <x:v>https://github.com/daiheng-zhang/STRIDE</x:v>
      </x:c>
      <x:c r="B42" s="4" t="str">
        <x:v>Data / implementation</x:v>
      </x:c>
      <x:c r="C42" s="4" t="str">
        <x:v>STRIDE GFP sequence optimization</x:v>
      </x:c>
      <x:c r="D42" s="4" t="str">
        <x:v>Original 64-setting catalog; published scores carried forward</x:v>
      </x:c>
    </x:row>
    <x:row r="43" ht="40" customHeight="1">
      <x:c r="A43" s="14" t="str">
        <x:v>https://github.com/jleechung/prompteina</x:v>
      </x:c>
      <x:c r="B43" s="14" t="str">
        <x:v>Data / implementation</x:v>
      </x:c>
      <x:c r="C43" s="14" t="str">
        <x:v>Prompteina text-conditioned protein design — GM2A campaign</x:v>
      </x:c>
      <x:c r="D43" s="14" t="str">
        <x:v>New primary-source review</x:v>
      </x:c>
    </x:row>
    <x:row r="44" ht="40" customHeight="1">
      <x:c r="A44" s="4" t="str">
        <x:v>https://github.com/mansoor181/chimera-bench</x:v>
      </x:c>
      <x:c r="B44" s="4" t="str">
        <x:v>Data / implementation</x:v>
      </x:c>
      <x:c r="C44" s="4" t="str">
        <x:v>CHIMERA-Bench epitope-conditioned antibody design</x:v>
      </x:c>
      <x:c r="D44" s="4" t="str">
        <x:v>New primary-source review</x:v>
      </x:c>
    </x:row>
    <x:row r="45" ht="42" customHeight="1">
      <x:c r="A45" s="14" t="str">
        <x:v>https://github.com/microsoft/LLaVA-Med</x:v>
      </x:c>
      <x:c r="B45" s="14" t="str">
        <x:v>Data / implementation</x:v>
      </x:c>
      <x:c r="C45" s="14" t="str">
        <x:v>Biomedical VQA: VQA-RAD / SLAKE-English / PathVQA / VQA-Med 2019
LLaVA-Med biomedical visual conversations</x:v>
      </x:c>
      <x:c r="D45" s="14" t="str">
        <x:v>Original 64-setting catalog; published scores carried forward</x:v>
      </x:c>
    </x:row>
    <x:row r="46" ht="70" customHeight="1">
      <x:c r="A46" s="4" t="str">
        <x:v>https://github.com/microsoft/SFM</x:v>
      </x:c>
      <x:c r="B46" s="4" t="str">
        <x:v>Data / implementation</x:v>
      </x:c>
      <x:c r="C46" s="4" t="str">
        <x:v>NatureLM generated proteins: unconditional / property-conditioned / heme
NatureLM's NCBI protein-description holdout
NatureLM/PEER binarized stability — paper-specific protocol</x:v>
      </x:c>
      <x:c r="D46" s="4" t="str">
        <x:v>Carried forward from 14 Oct 2026 source-linked workbook; not independently rerun
Original 64-setting catalog; published scores carried forward</x:v>
      </x:c>
    </x:row>
    <x:row r="47" ht="40" customHeight="1">
      <x:c r="A47" s="14" t="str">
        <x:v>https://github.com/microsoft/bioemu-benchmarks</x:v>
      </x:c>
      <x:c r="B47" s="14" t="str">
        <x:v>Data / implementation</x:v>
      </x:c>
      <x:c r="C47" s="14" t="str">
        <x:v>BioEmu benchmark collection — states, dynamics and free energy</x:v>
      </x:c>
      <x:c r="D47" s="14" t="str">
        <x:v>New primary-source review</x:v>
      </x:c>
    </x:row>
    <x:row r="48" ht="40" customHeight="1">
      <x:c r="A48" s="4" t="str">
        <x:v>https://github.com/microsoft/bioemu/blob/main/MODEL_CARD.md</x:v>
      </x:c>
      <x:c r="B48" s="4" t="str">
        <x:v>Primary report</x:v>
      </x:c>
      <x:c r="C48" s="4" t="str">
        <x:v>BioEmu benchmark collection — states, dynamics and free energy</x:v>
      </x:c>
      <x:c r="D48" s="4" t="str">
        <x:v>New primary-source review</x:v>
      </x:c>
    </x:row>
    <x:row r="49" ht="56" customHeight="1">
      <x:c r="A49" s="14" t="str">
        <x:v>https://github.com/mims-harvard/bio-posttrain</x:v>
      </x:c>
      <x:c r="B49" s="14" t="str">
        <x:v>Data / implementation</x:v>
      </x:c>
      <x:c r="C49" s="14" t="str">
        <x:v>Bio-posttrain KEGG unseen-network holdout
Bio-posttrain MEDEA expression-conditioned gene selection
Bio-posttrain species-held-out protein GO</x:v>
      </x:c>
      <x:c r="D49" s="14" t="str">
        <x:v>Original 64-setting catalog; published scores carried forward</x:v>
      </x:c>
    </x:row>
    <x:row r="50" ht="40" customHeight="1">
      <x:c r="A50" s="4" t="str">
        <x:v>https://github.com/pubmedqa/pubmedqa</x:v>
      </x:c>
      <x:c r="B50" s="4" t="str">
        <x:v>Data / implementation</x:v>
      </x:c>
      <x:c r="C50" s="4" t="str">
        <x:v>PubMedQA research-abstract questions</x:v>
      </x:c>
      <x:c r="D50" s="4" t="str">
        <x:v>New primary-source review</x:v>
      </x:c>
    </x:row>
    <x:row r="51" ht="42" customHeight="1">
      <x:c r="A51" s="14" t="str">
        <x:v>https://github.com/rohitarorayyc/proteingym-llm/blob/main/DATA.md</x:v>
      </x:c>
      <x:c r="B51" s="14" t="str">
        <x:v>Data / implementation</x:v>
      </x:c>
      <x:c r="C51" s="14" t="str">
        <x:v>PG-LLM / ProteinGym-LLM — eval-data-v1.2</x:v>
      </x:c>
      <x:c r="D51" s="14" t="str">
        <x:v>Carried forward from 14 Oct 2026 source-linked workbook; not independently rerun</x:v>
      </x:c>
    </x:row>
    <x:row r="52" ht="42" customHeight="1">
      <x:c r="A52" s="4" t="str">
        <x:v>https://github.com/songlab-cal/tape</x:v>
      </x:c>
      <x:c r="B52" s="4" t="str">
        <x:v>Data / implementation</x:v>
      </x:c>
      <x:c r="C52" s="4" t="str">
        <x:v>TAPE / Rocklin stability
TAPE GFP / Sarkisyan fluorescence</x:v>
      </x:c>
      <x:c r="D52" s="4" t="str">
        <x:v>Carried forward from 14 Oct 2026 source-linked workbook; not independently rerun</x:v>
      </x:c>
    </x:row>
    <x:row r="53" ht="42" customHeight="1">
      <x:c r="A53" s="14" t="str">
        <x:v>https://github.com/xiaoman-zhang/PMC-VQA</x:v>
      </x:c>
      <x:c r="B53" s="14" t="str">
        <x:v>Data / implementation</x:v>
      </x:c>
      <x:c r="C53" s="14" t="str">
        <x:v>Biomedical VQA: VQA-RAD / SLAKE-English / PathVQA / VQA-Med 2019
PMC-VQA figure question answering</x:v>
      </x:c>
      <x:c r="D53" s="14" t="str">
        <x:v>Original 64-setting catalog; published scores carried forward</x:v>
      </x:c>
    </x:row>
    <x:row r="54" ht="42" customHeight="1">
      <x:c r="A54" s="4" t="str">
        <x:v>https://github.com/zjunlp/Mol-Instructions</x:v>
      </x:c>
      <x:c r="B54" s="4" t="str">
        <x:v>Data / implementation</x:v>
      </x:c>
      <x:c r="C54" s="4" t="str">
        <x:v>Mol-Instructions — four protein-description subsets</x:v>
      </x:c>
      <x:c r="D54" s="4" t="str">
        <x:v>Carried forward from 14 Oct 2026 source-linked workbook; not independently rerun</x:v>
      </x:c>
    </x:row>
    <x:row r="55" ht="42" customHeight="1">
      <x:c r="A55" s="14" t="str">
        <x:v>https://huggingface.co/datasets/AbBibench/Antibody_Binding_Benchmark_Dataset</x:v>
      </x:c>
      <x:c r="B55" s="14" t="str">
        <x:v>Data / implementation</x:v>
      </x:c>
      <x:c r="C55" s="14" t="str">
        <x:v>AbBiBench antibody affinity ranking</x:v>
      </x:c>
      <x:c r="D55" s="14" t="str">
        <x:v>New primary-source review</x:v>
      </x:c>
    </x:row>
    <x:row r="56" ht="42" customHeight="1">
      <x:c r="A56" s="4" t="str">
        <x:v>https://huggingface.co/datasets/PharMolix/MutaDescribe</x:v>
      </x:c>
      <x:c r="B56" s="4" t="str">
        <x:v>Data / implementation</x:v>
      </x:c>
      <x:c r="C56" s="4" t="str">
        <x:v>MutaDescribe — mutation engineering
MutaDescribe — mutation explanation</x:v>
      </x:c>
      <x:c r="D56" s="4" t="str">
        <x:v>Carried forward from 14 Oct 2026 source-linked workbook; not independently rerun</x:v>
      </x:c>
    </x:row>
    <x:row r="57" ht="42" customHeight="1">
      <x:c r="A57" s="14" t="str">
        <x:v>https://huggingface.co/datasets/futurehouse/lab-bench</x:v>
      </x:c>
      <x:c r="B57" s="14" t="str">
        <x:v>Data / implementation</x:v>
      </x:c>
      <x:c r="C57" s="14" t="str">
        <x:v>LAB-Bench — research tasks</x:v>
      </x:c>
      <x:c r="D57" s="14" t="str">
        <x:v>Carried forward from 14 Oct 2026 source-linked workbook; not independently rerun</x:v>
      </x:c>
    </x:row>
    <x:row r="58" ht="40" customHeight="1">
      <x:c r="A58" s="4" t="str">
        <x:v>https://huggingface.co/datasets/tsynbio/ProteinLMBench</x:v>
      </x:c>
      <x:c r="B58" s="4" t="str">
        <x:v>Data / implementation</x:v>
      </x:c>
      <x:c r="C58" s="4" t="str">
        <x:v>ProteinLMBench protein-understanding questions</x:v>
      </x:c>
      <x:c r="D58" s="4" t="str">
        <x:v>New primary-source review</x:v>
      </x:c>
    </x:row>
    <x:row r="59" ht="42" customHeight="1">
      <x:c r="A59" s="14" t="str">
        <x:v>https://huggingface.co/datasets/wanglab/bioreason-pro-test-data</x:v>
      </x:c>
      <x:c r="B59" s="14" t="str">
        <x:v>Data / implementation
Primary report</x:v>
      </x:c>
      <x:c r="C59" s="14" t="str">
        <x:v>BioReason-Pro temporal GO test</x:v>
      </x:c>
      <x:c r="D59" s="14" t="str">
        <x:v>Carried forward from 14 Oct 2026 source-linked workbook; not independently rerun</x:v>
      </x:c>
    </x:row>
    <x:row r="60" ht="42" customHeight="1">
      <x:c r="A60" s="4" t="str">
        <x:v>https://huggingface.co/datasets/wanglab/kegg</x:v>
      </x:c>
      <x:c r="B60" s="4" t="str">
        <x:v>Data / implementation</x:v>
      </x:c>
      <x:c r="C60" s="4" t="str">
        <x:v>BioReason KEGG pathway/disease</x:v>
      </x:c>
      <x:c r="D60" s="4" t="str">
        <x:v>Original 64-setting catalog; published scores carried forward</x:v>
      </x:c>
    </x:row>
    <x:row r="61" ht="140" customHeight="1">
      <x:c r="A61" s="14" t="str">
        <x:v>https://proceedings.mlr.press/v202/xu23t/xu23t.pdf</x:v>
      </x:c>
      <x:c r="B61" s="14" t="str">
        <x:v>Primary report</x:v>
      </x:c>
      <x:c r="C61" s="14" t="str">
        <x:v>DeepFRI-derived EC and GO test splits
DeepLoc — binary and 10-compartment localization
Envision β-lactamase — PEER split
FLIP — AAV and Meltome
ProtST reaction classification — zero/few-shot
ProtST text-to-protein retrieval examples
ProteinGym substitutions — historical ProtST evaluation
TAPE / Rocklin stability
TAPE GFP / Sarkisyan fluorescence</x:v>
      </x:c>
      <x:c r="D61" s="14" t="str">
        <x:v>Carried forward from 14 Oct 2026 source-linked workbook; not independently rerun
Original 64-setting catalog; published scores carried forward</x:v>
      </x:c>
    </x:row>
    <x:row r="62" ht="140" customHeight="1">
      <x:c r="A62" s="4" t="str">
        <x:v>https://proteinbench.github.io/</x:v>
      </x:c>
      <x:c r="B62" s="4" t="str">
        <x:v>Data / implementation</x:v>
      </x:c>
      <x:c r="C62" s="4" t="str">
        <x:v>ProteinBench antibody design — processed RAbD
ProteinBench ensemble distribution — ATLAS
ProteinBench inverse folding — CASP15 / CAMEO / synthetic backbones
ProteinBench joint sequence–structure generation
ProteinBench motif scaffolding — legacy motif panel
ProteinBench multistate conformations — apo/holo and BPTI
ProteinBench single-state folding — CAMEO 2022
ProteinBench unconditional backbone generation
ProteinBench unconditional sequence generation</x:v>
      </x:c>
      <x:c r="D62" s="4" t="str">
        <x:v>New primary-source review</x:v>
      </x:c>
    </x:row>
    <x:row r="63" ht="42" customHeight="1">
      <x:c r="A63" s="14" t="str">
        <x:v>https://raw.githubusercontent.com/bowang-lab/BioReason-Pro/main/README.md</x:v>
      </x:c>
      <x:c r="B63" s="14" t="str">
        <x:v>Primary report</x:v>
      </x:c>
      <x:c r="C63" s="14" t="str">
        <x:v>BioReason-Pro temporal GO test</x:v>
      </x:c>
      <x:c r="D63" s="14" t="str">
        <x:v>Carried forward from 14 Oct 2026 source-linked workbook; not independently rerun</x:v>
      </x:c>
    </x:row>
    <x:row r="64" ht="42" customHeight="1">
      <x:c r="A64" s="4" t="str">
        <x:v>https://raw.githubusercontent.com/rohitarorayyc/proteingym-llm/main/DATA.md</x:v>
      </x:c>
      <x:c r="B64" s="4" t="str">
        <x:v>Primary report</x:v>
      </x:c>
      <x:c r="C64" s="4" t="str">
        <x:v>PG-LLM / ProteinGym-LLM — eval-data-v1.2</x:v>
      </x:c>
      <x:c r="D64" s="4" t="str">
        <x:v>Carried forward from 14 Oct 2026 source-linked workbook; not independently rerun</x:v>
      </x:c>
    </x:row>
    <x:row r="65" ht="42" customHeight="1">
      <x:c r="A65" s="14" t="str">
        <x:v>https://raw.githubusercontent.com/zjunlp/Mol-Instructions/main/README.md</x:v>
      </x:c>
      <x:c r="B65" s="14" t="str">
        <x:v>Primary report</x:v>
      </x:c>
      <x:c r="C65" s="14" t="str">
        <x:v>Mol-Instructions — four protein-description subsets</x:v>
      </x:c>
      <x:c r="D65" s="14" t="str">
        <x:v>Carried forward from 14 Oct 2026 source-linked workbook; not independently rerun</x:v>
      </x:c>
    </x:row>
    <x:row r="66" ht="70" customHeight="1">
      <x:c r="A66" s="4" t="str">
        <x:v>https://www.atom3d.ai/</x:v>
      </x:c>
      <x:c r="B66" s="4" t="str">
        <x:v>Data / implementation</x:v>
      </x:c>
      <x:c r="C66" s="4" t="str">
        <x:v>ATOM3D protein structure ranking (PSR)
ATOM3D protein–ligand affinity (LBA)
ATOM3D residue identity from local structure (RES)
ATOM3D small-molecule properties (SMP / QM9)</x:v>
      </x:c>
      <x:c r="D66" s="4" t="str">
        <x:v>New primary-source review</x:v>
      </x:c>
    </x:row>
    <x:row r="67" ht="40" customHeight="1">
      <x:c r="A67" s="14" t="str">
        <x:v>https://www.atom3d.ai/lep.html</x:v>
      </x:c>
      <x:c r="B67" s="14" t="str">
        <x:v>Data / implementation</x:v>
      </x:c>
      <x:c r="C67" s="14" t="str">
        <x:v>ATOM3D ligand efficacy (LEP)</x:v>
      </x:c>
      <x:c r="D67" s="14" t="str">
        <x:v>New primary-source review</x:v>
      </x:c>
    </x:row>
    <x:row r="68" ht="40" customHeight="1">
      <x:c r="A68" s="4" t="str">
        <x:v>https://www.atom3d.ai/msp.html</x:v>
      </x:c>
      <x:c r="B68" s="4" t="str">
        <x:v>Data / implementation</x:v>
      </x:c>
      <x:c r="C68" s="4" t="str">
        <x:v>ATOM3D SKEMPI-derived mutation affinity (MSP)</x:v>
      </x:c>
      <x:c r="D68" s="4" t="str">
        <x:v>New primary-source review</x:v>
      </x:c>
    </x:row>
    <x:row r="69" ht="40" customHeight="1">
      <x:c r="A69" s="14" t="str">
        <x:v>https://www.atom3d.ai/pip.html</x:v>
      </x:c>
      <x:c r="B69" s="14" t="str">
        <x:v>Data / implementation</x:v>
      </x:c>
      <x:c r="C69" s="14" t="str">
        <x:v>ATOM3D interface contacts (PIP)</x:v>
      </x:c>
      <x:c r="D69" s="14" t="str">
        <x:v>New primary-source review</x:v>
      </x:c>
    </x:row>
    <x:row r="70" ht="40" customHeight="1">
      <x:c r="A70" s="4" t="str">
        <x:v>https://www.atom3d.ai/rsr.html</x:v>
      </x:c>
      <x:c r="B70" s="4" t="str">
        <x:v>Data / implementation</x:v>
      </x:c>
      <x:c r="C70" s="4" t="str">
        <x:v>ATOM3D RNA structure ranking (RSR)</x:v>
      </x:c>
      <x:c r="D70" s="4" t="str">
        <x:v>New primary-source review</x:v>
      </x:c>
    </x:row>
    <x:row r="71" ht="42" customHeight="1">
      <x:c r="A71" s="14" t="str">
        <x:v>https://www.biorxiv.org/content/10.64898/2026.03.19.712954v2.full</x:v>
      </x:c>
      <x:c r="B71" s="14" t="str">
        <x:v>Primary report</x:v>
      </x:c>
      <x:c r="C71" s="14" t="str">
        <x:v>BioReason-Pro explanation review</x:v>
      </x:c>
      <x:c r="D71" s="14" t="str">
        <x:v>Original 64-setting catalog; published scores carried forward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ea82b0ca2c84ed2"/>
  </x:tableParts>
</x:worksheet>
</file>